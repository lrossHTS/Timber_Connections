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tsengineers-my.sharepoint.com/personal/lross_hts_uk_com/Documents/Desktop/2564/98 From Git/01 Timber Connection Designer/Timber_Connections/"/>
    </mc:Choice>
  </mc:AlternateContent>
  <xr:revisionPtr revIDLastSave="78" documentId="13_ncr:1_{267B309E-6AFE-44A3-B57E-A5B8C5D98569}" xr6:coauthVersionLast="47" xr6:coauthVersionMax="47" xr10:uidLastSave="{5C8CD43E-F21F-421E-98C5-438E0F18AC8F}"/>
  <bookViews>
    <workbookView xWindow="-120" yWindow="-120" windowWidth="29040" windowHeight="17640" activeTab="1" xr2:uid="{FB7BFAFC-CF12-41BB-88EC-354CF2645EA8}"/>
  </bookViews>
  <sheets>
    <sheet name="Inputs" sheetId="3" r:id="rId1"/>
    <sheet name="Designer" sheetId="4" r:id="rId2"/>
    <sheet name="Column Designer" sheetId="1" r:id="rId3"/>
    <sheet name="Input Data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9" i="3" l="1"/>
  <c r="L28" i="3"/>
  <c r="L27" i="3"/>
  <c r="L26" i="3"/>
  <c r="L25" i="3"/>
  <c r="L24" i="3"/>
  <c r="L18" i="3"/>
  <c r="L4" i="3"/>
  <c r="L3" i="3"/>
  <c r="L2" i="3"/>
  <c r="E46" i="3"/>
  <c r="E45" i="3"/>
  <c r="E42" i="3"/>
  <c r="E39" i="3"/>
  <c r="E38" i="3"/>
  <c r="E36" i="3"/>
  <c r="E35" i="3"/>
  <c r="E33" i="3"/>
  <c r="E32" i="3"/>
  <c r="E30" i="3"/>
  <c r="E28" i="3"/>
  <c r="E26" i="3"/>
  <c r="E25" i="3"/>
  <c r="E24" i="3"/>
  <c r="E21" i="3"/>
  <c r="E20" i="3"/>
  <c r="E19" i="3"/>
  <c r="E18" i="3"/>
  <c r="E3" i="3"/>
  <c r="E2" i="3"/>
</calcChain>
</file>

<file path=xl/sharedStrings.xml><?xml version="1.0" encoding="utf-8"?>
<sst xmlns="http://schemas.openxmlformats.org/spreadsheetml/2006/main" count="640" uniqueCount="199">
  <si>
    <t>Section depth</t>
  </si>
  <si>
    <t>=</t>
  </si>
  <si>
    <t>mm</t>
  </si>
  <si>
    <t>Section thickness</t>
  </si>
  <si>
    <t>Section Geometry</t>
  </si>
  <si>
    <t>Connection loads</t>
  </si>
  <si>
    <t>h</t>
  </si>
  <si>
    <t>t</t>
  </si>
  <si>
    <t>Shear parallel to grain</t>
  </si>
  <si>
    <t>V_ed,1</t>
  </si>
  <si>
    <t>kN</t>
  </si>
  <si>
    <t>V_ed,2</t>
  </si>
  <si>
    <t>Shear perpindicular to grain</t>
  </si>
  <si>
    <t>Applied moment</t>
  </si>
  <si>
    <t>M_ed</t>
  </si>
  <si>
    <t>kNm</t>
  </si>
  <si>
    <t>Timber properties</t>
  </si>
  <si>
    <t>Timber grade</t>
  </si>
  <si>
    <t>GL28h</t>
  </si>
  <si>
    <t>Service class</t>
  </si>
  <si>
    <t xml:space="preserve">Load duration </t>
  </si>
  <si>
    <t>Timber material factor</t>
  </si>
  <si>
    <t>γ_m</t>
  </si>
  <si>
    <t>Connection properties</t>
  </si>
  <si>
    <t>Fixing grade</t>
  </si>
  <si>
    <t>Bolt  Classes</t>
  </si>
  <si>
    <t>Timber grades</t>
  </si>
  <si>
    <t>C16</t>
  </si>
  <si>
    <t>C24</t>
  </si>
  <si>
    <t>C27</t>
  </si>
  <si>
    <t>GL24c</t>
  </si>
  <si>
    <t>GL28c</t>
  </si>
  <si>
    <t>GL32c</t>
  </si>
  <si>
    <t>GL24h</t>
  </si>
  <si>
    <t>GL32h</t>
  </si>
  <si>
    <t>GL75</t>
  </si>
  <si>
    <t>Load duration</t>
  </si>
  <si>
    <t xml:space="preserve">Instantaneous </t>
  </si>
  <si>
    <t>Permanent</t>
  </si>
  <si>
    <t>Short-term</t>
  </si>
  <si>
    <t>Medium-term</t>
  </si>
  <si>
    <t>Fixing diameter</t>
  </si>
  <si>
    <t>Fixing diameters</t>
  </si>
  <si>
    <t>Fixing type</t>
  </si>
  <si>
    <t>Bolted</t>
  </si>
  <si>
    <t>Dowelled</t>
  </si>
  <si>
    <t>Outer fixing</t>
  </si>
  <si>
    <t>Washer</t>
  </si>
  <si>
    <t>Plate</t>
  </si>
  <si>
    <t>Washer diameter</t>
  </si>
  <si>
    <t>Fixing plate thickness</t>
  </si>
  <si>
    <t>Connection geometry</t>
  </si>
  <si>
    <t>n_sp</t>
  </si>
  <si>
    <t>Number of shear planes</t>
  </si>
  <si>
    <t>Embedded plate thickness</t>
  </si>
  <si>
    <t>t_pl</t>
  </si>
  <si>
    <t>d</t>
  </si>
  <si>
    <t>d_w</t>
  </si>
  <si>
    <t>t_plOut</t>
  </si>
  <si>
    <t>Distance to beam end</t>
  </si>
  <si>
    <t>a_3</t>
  </si>
  <si>
    <t>Bolt arrangement</t>
  </si>
  <si>
    <t>Perimeter</t>
  </si>
  <si>
    <t>Grid</t>
  </si>
  <si>
    <t>n_para</t>
  </si>
  <si>
    <t>n_perp</t>
  </si>
  <si>
    <t>Bolt spacing parallel to grain</t>
  </si>
  <si>
    <t>a_1</t>
  </si>
  <si>
    <t>a_2</t>
  </si>
  <si>
    <t>Bolt group radius</t>
  </si>
  <si>
    <t>Number of bolts</t>
  </si>
  <si>
    <t>r_bg</t>
  </si>
  <si>
    <t>Bolt ref</t>
  </si>
  <si>
    <t>x</t>
  </si>
  <si>
    <t>y</t>
  </si>
  <si>
    <t>Rel. coordinates</t>
  </si>
  <si>
    <t>s</t>
  </si>
  <si>
    <t>Parallel to grain</t>
  </si>
  <si>
    <t>Bolt loads</t>
  </si>
  <si>
    <t>V_1</t>
  </si>
  <si>
    <t>V_2</t>
  </si>
  <si>
    <t>Resultant</t>
  </si>
  <si>
    <t>V</t>
  </si>
  <si>
    <t>alpha</t>
  </si>
  <si>
    <t>Direction</t>
  </si>
  <si>
    <t>Row loads</t>
  </si>
  <si>
    <t>Rel. coordinate</t>
  </si>
  <si>
    <t>Geometry requirements</t>
  </si>
  <si>
    <t>a_3t</t>
  </si>
  <si>
    <t>a_3c</t>
  </si>
  <si>
    <t>a_4t</t>
  </si>
  <si>
    <t>a_4c</t>
  </si>
  <si>
    <t>Bolt capacities</t>
  </si>
  <si>
    <t>F_vRk</t>
  </si>
  <si>
    <t>F_vRd</t>
  </si>
  <si>
    <t>F_vRd,2</t>
  </si>
  <si>
    <t>Row capacity</t>
  </si>
  <si>
    <t>Col capacity</t>
  </si>
  <si>
    <t>F_vRd,1</t>
  </si>
  <si>
    <t>** circular to be added</t>
  </si>
  <si>
    <t>No bolts</t>
  </si>
  <si>
    <t>Y</t>
  </si>
  <si>
    <t>N</t>
  </si>
  <si>
    <t>Question</t>
  </si>
  <si>
    <t>No. of rows parallel to grain</t>
  </si>
  <si>
    <t>No. of rows perp. to grain</t>
  </si>
  <si>
    <t>Bolt spacing perp. to grain</t>
  </si>
  <si>
    <t>Connection arrangement</t>
  </si>
  <si>
    <t>Beam or column</t>
  </si>
  <si>
    <t>Beam</t>
  </si>
  <si>
    <t>Column</t>
  </si>
  <si>
    <t>Plate details</t>
  </si>
  <si>
    <t>Edge distance</t>
  </si>
  <si>
    <t>Fire time</t>
  </si>
  <si>
    <t>Fire Resistance</t>
  </si>
  <si>
    <t>Timber end clearance</t>
  </si>
  <si>
    <t>Bolt recessed?</t>
  </si>
  <si>
    <t>-</t>
  </si>
  <si>
    <t>Polar Moment of Inertia =</t>
  </si>
  <si>
    <t>mm2</t>
  </si>
  <si>
    <t>material type</t>
  </si>
  <si>
    <t>Glulam</t>
  </si>
  <si>
    <t>timber type</t>
  </si>
  <si>
    <t>Softwood</t>
  </si>
  <si>
    <t>k_mod</t>
  </si>
  <si>
    <t>k_def</t>
  </si>
  <si>
    <t>charring rate, beta_m</t>
  </si>
  <si>
    <t>Individual bolt analysis results</t>
  </si>
  <si>
    <t>Bolt row analysis</t>
  </si>
  <si>
    <t>Bolt column analysis</t>
  </si>
  <si>
    <t>k_90</t>
  </si>
  <si>
    <t>Ultimate fixing strength</t>
  </si>
  <si>
    <t>Char. fixing yield strength</t>
  </si>
  <si>
    <t>V_1,dir</t>
  </si>
  <si>
    <t>V_1,mom</t>
  </si>
  <si>
    <t>V_2,dir</t>
  </si>
  <si>
    <t>V_2,mom</t>
  </si>
  <si>
    <t>req,d</t>
  </si>
  <si>
    <t>prov,d</t>
  </si>
  <si>
    <t>mm2 ?</t>
  </si>
  <si>
    <t>deg</t>
  </si>
  <si>
    <t>Bolt concealed</t>
  </si>
  <si>
    <t>** dowel fixings are automatically concealed</t>
  </si>
  <si>
    <t>Calc reference</t>
  </si>
  <si>
    <t>Store Data</t>
  </si>
  <si>
    <t>Plate thickness</t>
  </si>
  <si>
    <t>Row Ref</t>
  </si>
  <si>
    <t>Col Ref</t>
  </si>
  <si>
    <t>Col loads</t>
  </si>
  <si>
    <t>Embedment, t_1</t>
  </si>
  <si>
    <t>Long-term</t>
  </si>
  <si>
    <t>Check 1 (Fixing capacity)</t>
  </si>
  <si>
    <t>Check 2 (Bolt row capacity)</t>
  </si>
  <si>
    <t>Check 3 (Splitting Capacity)</t>
  </si>
  <si>
    <t>Check 4 (Block shear checks)</t>
  </si>
  <si>
    <t>Connection design to Eurocode BS EN 1995-1-1:2004</t>
  </si>
  <si>
    <t>Job:</t>
  </si>
  <si>
    <t>Example Project</t>
  </si>
  <si>
    <t>Date</t>
  </si>
  <si>
    <t>Title:</t>
  </si>
  <si>
    <t>Slab XX Deflection</t>
  </si>
  <si>
    <t>Eng</t>
  </si>
  <si>
    <t>Job No:</t>
  </si>
  <si>
    <t>XXXX</t>
  </si>
  <si>
    <t>Sheet no.</t>
  </si>
  <si>
    <t>Rev</t>
  </si>
  <si>
    <t>Reporting</t>
  </si>
  <si>
    <t>Net bolt tensile area</t>
  </si>
  <si>
    <t>Fin Plate Checks</t>
  </si>
  <si>
    <t>n</t>
  </si>
  <si>
    <t>Column 1</t>
  </si>
  <si>
    <t>Design status = Fail (157% utilisation)</t>
  </si>
  <si>
    <t>Design status = Fail (165% utilisation)</t>
  </si>
  <si>
    <t>Design status = Fail (111% utilisation)</t>
  </si>
  <si>
    <t>Design status = Pass (36% at section and 39% at connection)</t>
  </si>
  <si>
    <t>Design status = Pass (9% in shear, 60% in bending, 6% in tie resistance, 6% in bolt bearing)</t>
  </si>
  <si>
    <t>char depth, d_char_ef</t>
  </si>
  <si>
    <t>Recess diameter</t>
  </si>
  <si>
    <t>Recess depth</t>
  </si>
  <si>
    <t>(Y/n)</t>
  </si>
  <si>
    <t>Design status = Fail (151% utilisation)</t>
  </si>
  <si>
    <t>Design status = Fail (148% utilisation)</t>
  </si>
  <si>
    <t>Design status = Fail (166% utilisation)</t>
  </si>
  <si>
    <t>Design status = Pass (18% at section and 19% at connection)</t>
  </si>
  <si>
    <t>Beam to column connection / Embedded fin plate</t>
  </si>
  <si>
    <t>Beam shear</t>
  </si>
  <si>
    <t>Beam axial loading</t>
  </si>
  <si>
    <t>F_z</t>
  </si>
  <si>
    <t>F_x</t>
  </si>
  <si>
    <t>M</t>
  </si>
  <si>
    <t>Bolt/dowel grade</t>
  </si>
  <si>
    <t>Fin Plate details</t>
  </si>
  <si>
    <t>Beam depth</t>
  </si>
  <si>
    <t>Beam thickness</t>
  </si>
  <si>
    <t>Beam width</t>
  </si>
  <si>
    <t>Column depth</t>
  </si>
  <si>
    <t>b</t>
  </si>
  <si>
    <t xml:space="preserve">Column depth </t>
  </si>
  <si>
    <t>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</si>
</sst>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9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sz val="10"/>
      <color theme="0" tint="-0.14999847407452621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1" fillId="2" borderId="1" xfId="0" applyFont="1" applyFill="1" applyBorder="1"/>
    <xf numFmtId="0" fontId="1" fillId="0" borderId="0" xfId="0" applyFont="1"/>
    <xf numFmtId="0" fontId="0" fillId="0" borderId="1" xfId="0" applyBorder="1"/>
    <xf numFmtId="0" fontId="0" fillId="3" borderId="0" xfId="0" applyFill="1"/>
    <xf numFmtId="0" fontId="0" fillId="0" borderId="0" xfId="0" quotePrefix="1"/>
    <xf numFmtId="0" fontId="5" fillId="0" borderId="0" xfId="0" applyFont="1"/>
    <xf numFmtId="0" fontId="6" fillId="0" borderId="0" xfId="0" applyFont="1"/>
    <xf numFmtId="0" fontId="4" fillId="0" borderId="0" xfId="0" applyFont="1"/>
    <xf numFmtId="0" fontId="4" fillId="0" borderId="0" xfId="0" quotePrefix="1" applyFont="1"/>
    <xf numFmtId="0" fontId="4" fillId="3" borderId="0" xfId="0" applyFont="1" applyFill="1"/>
    <xf numFmtId="0" fontId="5" fillId="0" borderId="0" xfId="0" quotePrefix="1" applyFont="1"/>
    <xf numFmtId="0" fontId="7" fillId="0" borderId="0" xfId="0" applyFont="1"/>
    <xf numFmtId="0" fontId="8" fillId="0" borderId="4" xfId="0" applyFont="1" applyBorder="1" applyAlignment="1">
      <alignment horizontal="left" vertical="center"/>
    </xf>
    <xf numFmtId="0" fontId="0" fillId="0" borderId="4" xfId="0" applyBorder="1"/>
    <xf numFmtId="0" fontId="2" fillId="0" borderId="0" xfId="0" applyFont="1"/>
    <xf numFmtId="0" fontId="9" fillId="0" borderId="0" xfId="0" applyFont="1"/>
    <xf numFmtId="0" fontId="0" fillId="4" borderId="0" xfId="0" applyFill="1"/>
    <xf numFmtId="0" fontId="0" fillId="5" borderId="0" xfId="0" applyFill="1"/>
    <xf numFmtId="0" fontId="5" fillId="5" borderId="0" xfId="0" applyFont="1" applyFill="1"/>
    <xf numFmtId="0" fontId="4" fillId="5" borderId="0" xfId="0" applyFont="1" applyFill="1"/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11" fillId="0" borderId="0" xfId="0" applyFont="1"/>
    <xf numFmtId="0" fontId="12" fillId="0" borderId="0" xfId="0" applyFont="1"/>
    <xf numFmtId="0" fontId="11" fillId="3" borderId="0" xfId="0" applyFont="1" applyFill="1"/>
    <xf numFmtId="0" fontId="11" fillId="0" borderId="0" xfId="0" quotePrefix="1" applyFont="1"/>
    <xf numFmtId="0" fontId="11" fillId="0" borderId="0" xfId="0" applyFont="1" applyFill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6" fillId="0" borderId="0" xfId="0" quotePrefix="1" applyFont="1"/>
    <xf numFmtId="0" fontId="16" fillId="3" borderId="0" xfId="0" applyFont="1" applyFill="1"/>
    <xf numFmtId="0" fontId="14" fillId="0" borderId="0" xfId="0" quotePrefix="1" applyFont="1"/>
    <xf numFmtId="0" fontId="11" fillId="5" borderId="0" xfId="0" applyFont="1" applyFill="1"/>
  </cellXfs>
  <cellStyles count="1">
    <cellStyle name="Normal" xfId="0" builtinId="0"/>
  </cellStyles>
  <dxfs count="19">
    <dxf>
      <font>
        <color auto="1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color auto="1"/>
      </font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2B2B2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514350</xdr:colOff>
          <xdr:row>21</xdr:row>
          <xdr:rowOff>38100</xdr:rowOff>
        </xdr:from>
        <xdr:to>
          <xdr:col>25</xdr:col>
          <xdr:colOff>590550</xdr:colOff>
          <xdr:row>24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 Connection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574675</xdr:colOff>
      <xdr:row>0</xdr:row>
      <xdr:rowOff>0</xdr:rowOff>
    </xdr:from>
    <xdr:to>
      <xdr:col>24</xdr:col>
      <xdr:colOff>429902</xdr:colOff>
      <xdr:row>19</xdr:row>
      <xdr:rowOff>142120</xdr:rowOff>
    </xdr:to>
    <xdr:pic>
      <xdr:nvPicPr>
        <xdr:cNvPr id="5" name="Bolt Plo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47500" y="0"/>
          <a:ext cx="3703327" cy="3561595"/>
        </a:xfrm>
        <a:prstGeom prst="rect">
          <a:avLst/>
        </a:prstGeom>
      </xdr:spPr>
    </xdr:pic>
    <xdr:clientData/>
  </xdr:twoCellAnchor>
  <xdr:twoCellAnchor editAs="oneCell">
    <xdr:from>
      <xdr:col>26</xdr:col>
      <xdr:colOff>269875</xdr:colOff>
      <xdr:row>0</xdr:row>
      <xdr:rowOff>0</xdr:rowOff>
    </xdr:from>
    <xdr:to>
      <xdr:col>28</xdr:col>
      <xdr:colOff>500002</xdr:colOff>
      <xdr:row>19</xdr:row>
      <xdr:rowOff>142120</xdr:rowOff>
    </xdr:to>
    <xdr:pic>
      <xdr:nvPicPr>
        <xdr:cNvPr id="9" name="Vec Plot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0" y="0"/>
          <a:ext cx="1449327" cy="3561595"/>
        </a:xfrm>
        <a:prstGeom prst="rect">
          <a:avLst/>
        </a:prstGeom>
      </xdr:spPr>
    </xdr:pic>
    <xdr:clientData/>
  </xdr:twoCellAnchor>
  <xdr:twoCellAnchor editAs="oneCell">
    <xdr:from>
      <xdr:col>29</xdr:col>
      <xdr:colOff>346075</xdr:colOff>
      <xdr:row>0</xdr:row>
      <xdr:rowOff>0</xdr:rowOff>
    </xdr:from>
    <xdr:to>
      <xdr:col>32</xdr:col>
      <xdr:colOff>304931</xdr:colOff>
      <xdr:row>19</xdr:row>
      <xdr:rowOff>142120</xdr:rowOff>
    </xdr:to>
    <xdr:pic>
      <xdr:nvPicPr>
        <xdr:cNvPr id="11" name="Sec Plo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00" y="0"/>
          <a:ext cx="1787656" cy="35615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151891</xdr:colOff>
      <xdr:row>0</xdr:row>
      <xdr:rowOff>70972</xdr:rowOff>
    </xdr:from>
    <xdr:to>
      <xdr:col>28</xdr:col>
      <xdr:colOff>190986</xdr:colOff>
      <xdr:row>2</xdr:row>
      <xdr:rowOff>239972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724" y="70972"/>
          <a:ext cx="1008000" cy="6558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8</xdr:row>
          <xdr:rowOff>47625</xdr:rowOff>
        </xdr:from>
        <xdr:to>
          <xdr:col>25</xdr:col>
          <xdr:colOff>104775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 Connection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34</xdr:col>
      <xdr:colOff>574675</xdr:colOff>
      <xdr:row>0</xdr:row>
      <xdr:rowOff>0</xdr:rowOff>
    </xdr:from>
    <xdr:to>
      <xdr:col>42</xdr:col>
      <xdr:colOff>221116</xdr:colOff>
      <xdr:row>14</xdr:row>
      <xdr:rowOff>105923</xdr:rowOff>
    </xdr:to>
    <xdr:pic>
      <xdr:nvPicPr>
        <xdr:cNvPr id="5" name="Bolt Plo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47500" y="0"/>
          <a:ext cx="4713741" cy="2715773"/>
        </a:xfrm>
        <a:prstGeom prst="rect">
          <a:avLst/>
        </a:prstGeom>
      </xdr:spPr>
    </xdr:pic>
    <xdr:clientData/>
  </xdr:twoCellAnchor>
  <xdr:twoCellAnchor editAs="oneCell">
    <xdr:from>
      <xdr:col>42</xdr:col>
      <xdr:colOff>269875</xdr:colOff>
      <xdr:row>0</xdr:row>
      <xdr:rowOff>0</xdr:rowOff>
    </xdr:from>
    <xdr:to>
      <xdr:col>50</xdr:col>
      <xdr:colOff>106816</xdr:colOff>
      <xdr:row>14</xdr:row>
      <xdr:rowOff>105923</xdr:rowOff>
    </xdr:to>
    <xdr:pic>
      <xdr:nvPicPr>
        <xdr:cNvPr id="9" name="Vec Plot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0" y="0"/>
          <a:ext cx="4713741" cy="2715773"/>
        </a:xfrm>
        <a:prstGeom prst="rect">
          <a:avLst/>
        </a:prstGeom>
      </xdr:spPr>
    </xdr:pic>
    <xdr:clientData/>
  </xdr:twoCellAnchor>
  <xdr:twoCellAnchor editAs="oneCell">
    <xdr:from>
      <xdr:col>45</xdr:col>
      <xdr:colOff>346075</xdr:colOff>
      <xdr:row>0</xdr:row>
      <xdr:rowOff>0</xdr:rowOff>
    </xdr:from>
    <xdr:to>
      <xdr:col>48</xdr:col>
      <xdr:colOff>483239</xdr:colOff>
      <xdr:row>19</xdr:row>
      <xdr:rowOff>142120</xdr:rowOff>
    </xdr:to>
    <xdr:pic>
      <xdr:nvPicPr>
        <xdr:cNvPr id="11" name="Sec Plo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00" y="0"/>
          <a:ext cx="1965964" cy="35615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ED4D2-C1B7-4D94-8B47-DA98A2AE26DD}">
  <sheetPr codeName="Sheet3"/>
  <dimension ref="A1:M55"/>
  <sheetViews>
    <sheetView workbookViewId="0"/>
  </sheetViews>
  <sheetFormatPr defaultRowHeight="12.75" x14ac:dyDescent="0.2"/>
  <cols>
    <col min="1" max="1" width="3.85546875" style="28" customWidth="1"/>
    <col min="2" max="2" width="27.7109375" style="28" customWidth="1"/>
    <col min="3" max="3" width="6.42578125" style="28" bestFit="1" customWidth="1"/>
    <col min="4" max="4" width="1.7109375" style="28" bestFit="1" customWidth="1"/>
    <col min="5" max="5" width="11.7109375" style="28" bestFit="1" customWidth="1"/>
    <col min="6" max="6" width="4.5703125" style="28" bestFit="1" customWidth="1"/>
    <col min="7" max="7" width="9.140625" style="28"/>
    <col min="8" max="8" width="3.42578125" style="28" customWidth="1"/>
    <col min="9" max="9" width="18.5703125" style="28" bestFit="1" customWidth="1"/>
    <col min="10" max="10" width="6.7109375" style="28" bestFit="1" customWidth="1"/>
    <col min="11" max="11" width="1.7109375" style="28" bestFit="1" customWidth="1"/>
    <col min="12" max="12" width="9.140625" style="28"/>
    <col min="13" max="13" width="3.85546875" style="28" bestFit="1" customWidth="1"/>
    <col min="14" max="14" width="9.140625" style="28"/>
    <col min="15" max="15" width="6.7109375" style="28" bestFit="1" customWidth="1"/>
    <col min="16" max="16384" width="9.140625" style="28"/>
  </cols>
  <sheetData>
    <row r="1" spans="1:12" x14ac:dyDescent="0.2">
      <c r="A1" s="28" t="s">
        <v>4</v>
      </c>
      <c r="H1" s="28" t="s">
        <v>16</v>
      </c>
    </row>
    <row r="2" spans="1:12" x14ac:dyDescent="0.2">
      <c r="B2" s="29" t="s">
        <v>192</v>
      </c>
      <c r="C2" s="29" t="s">
        <v>56</v>
      </c>
      <c r="D2" s="28" t="s">
        <v>1</v>
      </c>
      <c r="E2" s="30">
        <f>Designer!E7</f>
        <v>600</v>
      </c>
      <c r="F2" s="28" t="s">
        <v>2</v>
      </c>
      <c r="I2" s="29" t="s">
        <v>113</v>
      </c>
      <c r="K2" s="31" t="s">
        <v>1</v>
      </c>
      <c r="L2" s="30">
        <f>Designer!L7</f>
        <v>60</v>
      </c>
    </row>
    <row r="3" spans="1:12" x14ac:dyDescent="0.2">
      <c r="B3" s="29" t="s">
        <v>194</v>
      </c>
      <c r="C3" s="29" t="s">
        <v>196</v>
      </c>
      <c r="D3" s="28" t="s">
        <v>1</v>
      </c>
      <c r="E3" s="30">
        <f>Designer!E8</f>
        <v>280</v>
      </c>
      <c r="F3" s="28" t="s">
        <v>2</v>
      </c>
      <c r="I3" s="29" t="s">
        <v>17</v>
      </c>
      <c r="K3" s="31" t="s">
        <v>1</v>
      </c>
      <c r="L3" s="30" t="str">
        <f>Designer!L8</f>
        <v>GL28h</v>
      </c>
    </row>
    <row r="4" spans="1:12" x14ac:dyDescent="0.2">
      <c r="I4" s="29" t="s">
        <v>19</v>
      </c>
      <c r="K4" s="28" t="s">
        <v>1</v>
      </c>
      <c r="L4" s="30">
        <f>Designer!L9</f>
        <v>2</v>
      </c>
    </row>
    <row r="5" spans="1:12" x14ac:dyDescent="0.2">
      <c r="B5" s="28" t="s">
        <v>197</v>
      </c>
      <c r="C5" s="28" t="s">
        <v>6</v>
      </c>
      <c r="D5" s="28" t="s">
        <v>1</v>
      </c>
      <c r="F5" s="28" t="s">
        <v>2</v>
      </c>
      <c r="I5" s="29"/>
      <c r="L5" s="32"/>
    </row>
    <row r="6" spans="1:12" x14ac:dyDescent="0.2">
      <c r="B6" s="28" t="s">
        <v>195</v>
      </c>
      <c r="C6" s="28" t="s">
        <v>56</v>
      </c>
      <c r="D6" s="28" t="s">
        <v>1</v>
      </c>
      <c r="F6" s="28" t="s">
        <v>2</v>
      </c>
      <c r="I6" s="29"/>
      <c r="L6" s="32"/>
    </row>
    <row r="7" spans="1:12" x14ac:dyDescent="0.2">
      <c r="I7" s="29"/>
      <c r="L7" s="32"/>
    </row>
    <row r="8" spans="1:12" x14ac:dyDescent="0.2">
      <c r="I8" s="29"/>
      <c r="L8" s="32"/>
    </row>
    <row r="9" spans="1:12" x14ac:dyDescent="0.2">
      <c r="I9" s="29"/>
      <c r="L9" s="32"/>
    </row>
    <row r="10" spans="1:12" x14ac:dyDescent="0.2">
      <c r="I10" s="29"/>
      <c r="L10" s="32"/>
    </row>
    <row r="11" spans="1:12" x14ac:dyDescent="0.2">
      <c r="I11" s="29"/>
      <c r="L11" s="32"/>
    </row>
    <row r="12" spans="1:12" x14ac:dyDescent="0.2">
      <c r="I12" s="29"/>
      <c r="L12" s="32"/>
    </row>
    <row r="13" spans="1:12" x14ac:dyDescent="0.2">
      <c r="I13" s="29"/>
      <c r="L13" s="32"/>
    </row>
    <row r="14" spans="1:12" x14ac:dyDescent="0.2">
      <c r="I14" s="29"/>
      <c r="L14" s="32"/>
    </row>
    <row r="15" spans="1:12" x14ac:dyDescent="0.2">
      <c r="I15" s="29"/>
      <c r="L15" s="32"/>
    </row>
    <row r="16" spans="1:12" x14ac:dyDescent="0.2">
      <c r="I16" s="29"/>
      <c r="L16" s="32"/>
    </row>
    <row r="17" spans="1:13" x14ac:dyDescent="0.2">
      <c r="A17" s="28" t="s">
        <v>198</v>
      </c>
      <c r="L17" s="32"/>
    </row>
    <row r="18" spans="1:13" x14ac:dyDescent="0.2">
      <c r="B18" s="29" t="s">
        <v>185</v>
      </c>
      <c r="C18" s="29" t="s">
        <v>187</v>
      </c>
      <c r="D18" s="31" t="s">
        <v>1</v>
      </c>
      <c r="E18" s="30">
        <f>Designer!E11</f>
        <v>20</v>
      </c>
      <c r="F18" s="28" t="s">
        <v>10</v>
      </c>
      <c r="I18" s="29" t="s">
        <v>21</v>
      </c>
      <c r="J18" s="29" t="s">
        <v>22</v>
      </c>
      <c r="K18" s="31" t="s">
        <v>1</v>
      </c>
      <c r="L18" s="30">
        <f>Designer!L11</f>
        <v>1.25</v>
      </c>
    </row>
    <row r="19" spans="1:13" x14ac:dyDescent="0.2">
      <c r="B19" s="29" t="s">
        <v>186</v>
      </c>
      <c r="C19" s="29" t="s">
        <v>188</v>
      </c>
      <c r="D19" s="28" t="s">
        <v>1</v>
      </c>
      <c r="E19" s="30">
        <f>Designer!E12</f>
        <v>30</v>
      </c>
      <c r="F19" s="28" t="s">
        <v>10</v>
      </c>
    </row>
    <row r="20" spans="1:13" x14ac:dyDescent="0.2">
      <c r="B20" s="29" t="s">
        <v>13</v>
      </c>
      <c r="C20" s="29" t="s">
        <v>189</v>
      </c>
      <c r="D20" s="28" t="s">
        <v>1</v>
      </c>
      <c r="E20" s="30">
        <f>Designer!E13</f>
        <v>10</v>
      </c>
      <c r="F20" s="28" t="s">
        <v>15</v>
      </c>
    </row>
    <row r="21" spans="1:13" x14ac:dyDescent="0.2">
      <c r="B21" s="29" t="s">
        <v>20</v>
      </c>
      <c r="D21" s="31" t="s">
        <v>1</v>
      </c>
      <c r="E21" s="30" t="str">
        <f>Designer!E14</f>
        <v>Medium-term</v>
      </c>
    </row>
    <row r="23" spans="1:13" x14ac:dyDescent="0.2">
      <c r="A23" s="28" t="s">
        <v>51</v>
      </c>
      <c r="H23" s="28" t="s">
        <v>23</v>
      </c>
    </row>
    <row r="24" spans="1:13" x14ac:dyDescent="0.2">
      <c r="B24" s="28" t="s">
        <v>53</v>
      </c>
      <c r="C24" s="28" t="s">
        <v>52</v>
      </c>
      <c r="D24" s="31" t="s">
        <v>1</v>
      </c>
      <c r="E24" s="30">
        <f>Designer!E17</f>
        <v>2</v>
      </c>
      <c r="I24" s="29" t="s">
        <v>190</v>
      </c>
      <c r="K24" s="31" t="s">
        <v>1</v>
      </c>
      <c r="L24" s="30">
        <f>Designer!L17</f>
        <v>8.8000000000000007</v>
      </c>
    </row>
    <row r="25" spans="1:13" x14ac:dyDescent="0.2">
      <c r="B25" s="28" t="s">
        <v>54</v>
      </c>
      <c r="C25" s="28" t="s">
        <v>55</v>
      </c>
      <c r="D25" s="31" t="s">
        <v>1</v>
      </c>
      <c r="E25" s="30">
        <f>Designer!E18</f>
        <v>12</v>
      </c>
      <c r="F25" s="28" t="s">
        <v>2</v>
      </c>
      <c r="I25" s="29" t="s">
        <v>41</v>
      </c>
      <c r="J25" s="28" t="s">
        <v>56</v>
      </c>
      <c r="K25" s="31" t="s">
        <v>1</v>
      </c>
      <c r="L25" s="30">
        <f>Designer!L18</f>
        <v>20</v>
      </c>
      <c r="M25" s="28" t="s">
        <v>2</v>
      </c>
    </row>
    <row r="26" spans="1:13" x14ac:dyDescent="0.2">
      <c r="B26" s="28" t="s">
        <v>115</v>
      </c>
      <c r="D26" s="31" t="s">
        <v>1</v>
      </c>
      <c r="E26" s="30">
        <f>Designer!E19</f>
        <v>25</v>
      </c>
      <c r="F26" s="28" t="s">
        <v>2</v>
      </c>
      <c r="I26" s="29" t="s">
        <v>43</v>
      </c>
      <c r="K26" s="31" t="s">
        <v>1</v>
      </c>
      <c r="L26" s="30" t="str">
        <f>Designer!L19</f>
        <v>Bolted</v>
      </c>
    </row>
    <row r="27" spans="1:13" x14ac:dyDescent="0.2">
      <c r="I27" s="33" t="s">
        <v>46</v>
      </c>
      <c r="J27" s="34"/>
      <c r="K27" s="34" t="s">
        <v>1</v>
      </c>
      <c r="L27" s="34" t="str">
        <f>Designer!L20</f>
        <v>Plate</v>
      </c>
      <c r="M27" s="35"/>
    </row>
    <row r="28" spans="1:13" x14ac:dyDescent="0.2">
      <c r="B28" s="28" t="s">
        <v>61</v>
      </c>
      <c r="D28" s="31" t="s">
        <v>1</v>
      </c>
      <c r="E28" s="30" t="str">
        <f>Designer!E21</f>
        <v>Grid</v>
      </c>
      <c r="I28" s="33" t="s">
        <v>49</v>
      </c>
      <c r="J28" s="34" t="s">
        <v>57</v>
      </c>
      <c r="K28" s="34" t="s">
        <v>1</v>
      </c>
      <c r="L28" s="34">
        <f>Designer!L21</f>
        <v>30</v>
      </c>
      <c r="M28" s="34" t="s">
        <v>2</v>
      </c>
    </row>
    <row r="29" spans="1:13" x14ac:dyDescent="0.2">
      <c r="I29" s="33" t="s">
        <v>50</v>
      </c>
      <c r="J29" s="34" t="s">
        <v>58</v>
      </c>
      <c r="K29" s="34" t="s">
        <v>1</v>
      </c>
      <c r="L29" s="34">
        <f>Designer!L22</f>
        <v>12</v>
      </c>
      <c r="M29" s="34" t="s">
        <v>2</v>
      </c>
    </row>
    <row r="30" spans="1:13" x14ac:dyDescent="0.2">
      <c r="B30" s="36" t="s">
        <v>59</v>
      </c>
      <c r="C30" s="36" t="s">
        <v>60</v>
      </c>
      <c r="D30" s="37" t="s">
        <v>1</v>
      </c>
      <c r="E30" s="38">
        <f>Designer!E23</f>
        <v>125</v>
      </c>
      <c r="F30" s="36" t="s">
        <v>2</v>
      </c>
    </row>
    <row r="32" spans="1:13" x14ac:dyDescent="0.2">
      <c r="B32" s="34" t="s">
        <v>104</v>
      </c>
      <c r="C32" s="34" t="s">
        <v>64</v>
      </c>
      <c r="D32" s="39" t="s">
        <v>1</v>
      </c>
      <c r="E32" s="34">
        <f>Designer!E25</f>
        <v>2</v>
      </c>
      <c r="F32" s="40"/>
    </row>
    <row r="33" spans="1:9" x14ac:dyDescent="0.2">
      <c r="B33" s="34" t="s">
        <v>105</v>
      </c>
      <c r="C33" s="34" t="s">
        <v>65</v>
      </c>
      <c r="D33" s="39" t="s">
        <v>1</v>
      </c>
      <c r="E33" s="34">
        <f>Designer!E26</f>
        <v>2</v>
      </c>
      <c r="F33" s="40"/>
      <c r="G33" s="35"/>
    </row>
    <row r="34" spans="1:9" x14ac:dyDescent="0.2">
      <c r="G34" s="34"/>
    </row>
    <row r="35" spans="1:9" x14ac:dyDescent="0.2">
      <c r="B35" s="34" t="s">
        <v>66</v>
      </c>
      <c r="C35" s="34" t="s">
        <v>67</v>
      </c>
      <c r="D35" s="39" t="s">
        <v>1</v>
      </c>
      <c r="E35" s="34">
        <f>Designer!E28</f>
        <v>100</v>
      </c>
      <c r="F35" s="34" t="s">
        <v>2</v>
      </c>
      <c r="G35" s="34"/>
      <c r="H35" s="35"/>
      <c r="I35" s="35"/>
    </row>
    <row r="36" spans="1:9" x14ac:dyDescent="0.2">
      <c r="B36" s="34" t="s">
        <v>106</v>
      </c>
      <c r="C36" s="34" t="s">
        <v>68</v>
      </c>
      <c r="D36" s="39" t="s">
        <v>1</v>
      </c>
      <c r="E36" s="34">
        <f>Designer!E29</f>
        <v>100</v>
      </c>
      <c r="F36" s="34" t="s">
        <v>2</v>
      </c>
      <c r="H36" s="34"/>
      <c r="I36" s="34"/>
    </row>
    <row r="37" spans="1:9" x14ac:dyDescent="0.2">
      <c r="H37" s="34"/>
      <c r="I37" s="34"/>
    </row>
    <row r="38" spans="1:9" x14ac:dyDescent="0.2">
      <c r="B38" s="34" t="s">
        <v>69</v>
      </c>
      <c r="C38" s="34" t="s">
        <v>71</v>
      </c>
      <c r="D38" s="39" t="s">
        <v>1</v>
      </c>
      <c r="E38" s="34">
        <f>Designer!E31</f>
        <v>150</v>
      </c>
      <c r="F38" s="34" t="s">
        <v>2</v>
      </c>
    </row>
    <row r="39" spans="1:9" x14ac:dyDescent="0.2">
      <c r="B39" s="34" t="s">
        <v>70</v>
      </c>
      <c r="C39" s="34"/>
      <c r="D39" s="39" t="s">
        <v>1</v>
      </c>
      <c r="E39" s="34">
        <f>Designer!E32</f>
        <v>6</v>
      </c>
      <c r="F39" s="34"/>
    </row>
    <row r="41" spans="1:9" x14ac:dyDescent="0.2">
      <c r="A41" s="28" t="s">
        <v>191</v>
      </c>
      <c r="G41" s="34"/>
      <c r="H41" s="28" t="s">
        <v>166</v>
      </c>
    </row>
    <row r="42" spans="1:9" x14ac:dyDescent="0.2">
      <c r="B42" s="28" t="s">
        <v>112</v>
      </c>
      <c r="E42" s="30">
        <f>Designer!E35</f>
        <v>50</v>
      </c>
      <c r="F42" s="28" t="s">
        <v>2</v>
      </c>
      <c r="G42" s="34"/>
      <c r="I42" s="28" t="s">
        <v>143</v>
      </c>
    </row>
    <row r="43" spans="1:9" x14ac:dyDescent="0.2">
      <c r="I43" s="28" t="s">
        <v>144</v>
      </c>
    </row>
    <row r="45" spans="1:9" x14ac:dyDescent="0.2">
      <c r="B45" s="28" t="s">
        <v>116</v>
      </c>
      <c r="E45" s="30" t="str">
        <f>Designer!E38</f>
        <v>Y</v>
      </c>
      <c r="F45" s="28" t="s">
        <v>179</v>
      </c>
    </row>
    <row r="46" spans="1:9" x14ac:dyDescent="0.2">
      <c r="B46" s="28" t="s">
        <v>141</v>
      </c>
      <c r="E46" s="30" t="str">
        <f>Designer!E39</f>
        <v>Y</v>
      </c>
      <c r="F46" s="28" t="s">
        <v>179</v>
      </c>
      <c r="H46" s="36"/>
      <c r="I46" s="36"/>
    </row>
    <row r="47" spans="1:9" x14ac:dyDescent="0.2">
      <c r="B47" s="28" t="s">
        <v>142</v>
      </c>
    </row>
    <row r="49" spans="7:9" x14ac:dyDescent="0.2">
      <c r="G49" s="34"/>
    </row>
    <row r="50" spans="7:9" x14ac:dyDescent="0.2">
      <c r="G50" s="34"/>
    </row>
    <row r="51" spans="7:9" x14ac:dyDescent="0.2">
      <c r="H51" s="34"/>
      <c r="I51" s="34"/>
    </row>
    <row r="52" spans="7:9" x14ac:dyDescent="0.2">
      <c r="H52" s="34"/>
      <c r="I52" s="34"/>
    </row>
    <row r="54" spans="7:9" x14ac:dyDescent="0.2">
      <c r="H54" s="34"/>
      <c r="I54" s="34"/>
    </row>
    <row r="55" spans="7:9" x14ac:dyDescent="0.2">
      <c r="H55" s="34"/>
      <c r="I55" s="34"/>
    </row>
  </sheetData>
  <conditionalFormatting sqref="E32:E33 E35:E36">
    <cfRule type="expression" dxfId="18" priority="2">
      <formula>OR($E$33="Grid", $E$33="Perimeter")</formula>
    </cfRule>
  </conditionalFormatting>
  <conditionalFormatting sqref="E38:E39">
    <cfRule type="expression" dxfId="17" priority="1">
      <formula>$E$33="Circular"</formula>
    </cfRule>
  </conditionalFormatting>
  <conditionalFormatting sqref="G35 H37:I37 I29:M29">
    <cfRule type="expression" dxfId="16" priority="3">
      <formula>AND($L$31="Bolted", $L$32="Plate")</formula>
    </cfRule>
  </conditionalFormatting>
  <conditionalFormatting sqref="G33 H35:I35 I27:M27">
    <cfRule type="expression" dxfId="15" priority="4">
      <formula>$L$31="Bolted"</formula>
    </cfRule>
  </conditionalFormatting>
  <conditionalFormatting sqref="G48:G50 H48:I52 B32:F36">
    <cfRule type="expression" dxfId="14" priority="5">
      <formula>OR($E$33="Grid", $E$33="Perimeter")</formula>
    </cfRule>
  </conditionalFormatting>
  <conditionalFormatting sqref="G41:G42 H54:I55 B38:F39">
    <cfRule type="expression" dxfId="13" priority="6">
      <formula>$E$33="Circular"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D710CE0-28F8-472D-9DBF-209A1BD820D0}">
          <x14:formula1>
            <xm:f>'Input Data'!$F$3:$F$7</xm:f>
          </x14:formula1>
          <xm:sqref>E21</xm:sqref>
        </x14:dataValidation>
        <x14:dataValidation type="list" allowBlank="1" showInputMessage="1" showErrorMessage="1" xr:uid="{2700824F-393B-4784-B817-5CF5235DC49F}">
          <x14:formula1>
            <xm:f>'Input Data'!$B$3:$B$12</xm:f>
          </x14:formula1>
          <xm:sqref>L3</xm:sqref>
        </x14:dataValidation>
        <x14:dataValidation type="list" allowBlank="1" showInputMessage="1" showErrorMessage="1" xr:uid="{FAE0126F-C143-4FCA-8830-255E0EF47F00}">
          <x14:formula1>
            <xm:f>'Input Data'!$H$3:$H$5</xm:f>
          </x14:formula1>
          <xm:sqref>L4:L16</xm:sqref>
        </x14:dataValidation>
        <x14:dataValidation type="list" allowBlank="1" showInputMessage="1" showErrorMessage="1" xr:uid="{E967ED95-3BE3-42CC-A7A8-59D9E24389D6}">
          <x14:formula1>
            <xm:f>'Input Data'!$D$3:$D$9</xm:f>
          </x14:formula1>
          <xm:sqref>L24</xm:sqref>
        </x14:dataValidation>
        <x14:dataValidation type="list" allowBlank="1" showInputMessage="1" showErrorMessage="1" xr:uid="{48393B9D-C5F9-4F2D-8598-EFC4453F799B}">
          <x14:formula1>
            <xm:f>'Input Data'!$J$3:$J$16</xm:f>
          </x14:formula1>
          <xm:sqref>L25</xm:sqref>
        </x14:dataValidation>
        <x14:dataValidation type="list" allowBlank="1" showInputMessage="1" showErrorMessage="1" xr:uid="{498AD159-7B65-4590-B377-749DBE76FA69}">
          <x14:formula1>
            <xm:f>'Input Data'!$L$3:$L$4</xm:f>
          </x14:formula1>
          <xm:sqref>L26</xm:sqref>
        </x14:dataValidation>
        <x14:dataValidation type="list" allowBlank="1" showInputMessage="1" showErrorMessage="1" xr:uid="{5A394ABD-AAB7-41DC-90F2-5B49A92D3851}">
          <x14:formula1>
            <xm:f>'Input Data'!$N$3:$N$4</xm:f>
          </x14:formula1>
          <xm:sqref>L27</xm:sqref>
        </x14:dataValidation>
        <x14:dataValidation type="list" allowBlank="1" showInputMessage="1" showErrorMessage="1" xr:uid="{A7185C1A-F202-47FE-BFDB-91A246E907B9}">
          <x14:formula1>
            <xm:f>'Input Data'!$P$3:$P$5</xm:f>
          </x14:formula1>
          <xm:sqref>E28</xm:sqref>
        </x14:dataValidation>
        <x14:dataValidation type="list" allowBlank="1" showInputMessage="1" showErrorMessage="1" xr:uid="{78FCE431-B862-47B4-80F3-6556A4FD5CD2}">
          <x14:formula1>
            <xm:f>'Input Data'!$R$3:$R$8</xm:f>
          </x14:formula1>
          <xm:sqref>L2</xm:sqref>
        </x14:dataValidation>
        <x14:dataValidation type="list" allowBlank="1" showInputMessage="1" showErrorMessage="1" xr:uid="{6F2B7B94-4427-4616-929F-CF4F92E3CE59}">
          <x14:formula1>
            <xm:f>'Input Data'!$B$19:$B$22</xm:f>
          </x14:formula1>
          <xm:sqref>E25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52EE-63BD-4E52-8843-3C50295AE21F}">
  <sheetPr codeName="Sheet4"/>
  <dimension ref="A1:FJ503"/>
  <sheetViews>
    <sheetView tabSelected="1" zoomScale="74" workbookViewId="0">
      <selection activeCell="T23" sqref="T23"/>
    </sheetView>
  </sheetViews>
  <sheetFormatPr defaultColWidth="9.140625" defaultRowHeight="12.75" x14ac:dyDescent="0.2"/>
  <cols>
    <col min="1" max="1" width="3.7109375" style="22" customWidth="1"/>
    <col min="2" max="2" width="37.28515625" style="22" bestFit="1" customWidth="1"/>
    <col min="3" max="3" width="6.5703125" style="22" bestFit="1" customWidth="1"/>
    <col min="4" max="4" width="3.7109375" style="22" customWidth="1"/>
    <col min="5" max="5" width="11.85546875" style="22" bestFit="1" customWidth="1"/>
    <col min="6" max="8" width="3.7109375" style="22" customWidth="1"/>
    <col min="9" max="9" width="18.7109375" style="22" bestFit="1" customWidth="1"/>
    <col min="10" max="10" width="6.85546875" style="22" bestFit="1" customWidth="1"/>
    <col min="11" max="11" width="3.7109375" style="22" customWidth="1"/>
    <col min="12" max="12" width="6" style="22" bestFit="1" customWidth="1"/>
    <col min="13" max="14" width="3.7109375" style="22" customWidth="1"/>
    <col min="15" max="15" width="26.28515625" style="22" bestFit="1" customWidth="1"/>
    <col min="16" max="16" width="13.85546875" style="22" bestFit="1" customWidth="1"/>
    <col min="17" max="17" width="5" style="22" customWidth="1"/>
    <col min="18" max="20" width="9.140625" style="22"/>
    <col min="21" max="21" width="12" style="22" bestFit="1" customWidth="1"/>
    <col min="22" max="40" width="9.140625" style="22"/>
    <col min="41" max="41" width="5.140625" style="22" customWidth="1"/>
    <col min="42" max="43" width="9.140625" style="22"/>
    <col min="44" max="44" width="12.7109375" style="22" bestFit="1" customWidth="1"/>
    <col min="45" max="45" width="9.140625" style="22"/>
    <col min="46" max="46" width="12" style="22" bestFit="1" customWidth="1"/>
    <col min="47" max="47" width="4.5703125" style="22" customWidth="1"/>
    <col min="48" max="49" width="9.140625" style="22"/>
    <col min="50" max="50" width="12.85546875" style="22" bestFit="1" customWidth="1"/>
    <col min="51" max="51" width="9.140625" style="22"/>
    <col min="52" max="52" width="10.85546875" style="22" customWidth="1"/>
    <col min="53" max="53" width="4.7109375" style="22" customWidth="1"/>
    <col min="54" max="16384" width="9.140625" style="22"/>
  </cols>
  <sheetData>
    <row r="1" spans="1:166" ht="20.100000000000001" customHeight="1" x14ac:dyDescent="0.2">
      <c r="A1" s="26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</row>
    <row r="2" spans="1:166" ht="20.100000000000001" customHeight="1" x14ac:dyDescent="0.2">
      <c r="A2" s="26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</row>
    <row r="3" spans="1:166" ht="20.100000000000001" customHeight="1" x14ac:dyDescent="0.2">
      <c r="A3" s="27" t="s">
        <v>184</v>
      </c>
      <c r="B3"/>
      <c r="C3"/>
      <c r="D3"/>
      <c r="E3" s="26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</row>
    <row r="4" spans="1:166" ht="20.100000000000001" customHeight="1" x14ac:dyDescent="0.2">
      <c r="A4" s="17" t="s">
        <v>155</v>
      </c>
      <c r="B4"/>
      <c r="C4"/>
      <c r="D4"/>
      <c r="E4"/>
      <c r="F4"/>
      <c r="G4"/>
      <c r="H4"/>
      <c r="I4"/>
      <c r="J4"/>
      <c r="K4"/>
      <c r="L4"/>
      <c r="M4"/>
      <c r="N4"/>
      <c r="O4" t="s">
        <v>120</v>
      </c>
      <c r="P4" t="s">
        <v>1</v>
      </c>
      <c r="Q4" t="s">
        <v>121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</row>
    <row r="5" spans="1:166" x14ac:dyDescent="0.2">
      <c r="A5" s="17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</row>
    <row r="6" spans="1:166" x14ac:dyDescent="0.2">
      <c r="A6" s="7" t="s">
        <v>4</v>
      </c>
      <c r="B6"/>
      <c r="C6"/>
      <c r="D6"/>
      <c r="E6"/>
      <c r="F6"/>
      <c r="G6"/>
      <c r="H6" s="7" t="s">
        <v>16</v>
      </c>
      <c r="I6"/>
      <c r="J6"/>
      <c r="K6"/>
      <c r="L6"/>
      <c r="M6"/>
      <c r="N6"/>
      <c r="O6" t="s">
        <v>122</v>
      </c>
      <c r="P6" t="s">
        <v>1</v>
      </c>
      <c r="Q6" t="s">
        <v>123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</row>
    <row r="7" spans="1:166" x14ac:dyDescent="0.2">
      <c r="A7"/>
      <c r="B7" s="20" t="s">
        <v>192</v>
      </c>
      <c r="C7" s="20" t="s">
        <v>6</v>
      </c>
      <c r="D7" t="s">
        <v>1</v>
      </c>
      <c r="E7" s="9">
        <v>600</v>
      </c>
      <c r="F7" t="s">
        <v>2</v>
      </c>
      <c r="G7"/>
      <c r="H7" s="7"/>
      <c r="I7" s="20" t="s">
        <v>113</v>
      </c>
      <c r="J7"/>
      <c r="K7" s="10" t="s">
        <v>1</v>
      </c>
      <c r="L7" s="9">
        <v>60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</row>
    <row r="8" spans="1:166" x14ac:dyDescent="0.2">
      <c r="A8"/>
      <c r="B8" s="20" t="s">
        <v>193</v>
      </c>
      <c r="C8" s="20" t="s">
        <v>7</v>
      </c>
      <c r="D8" t="s">
        <v>1</v>
      </c>
      <c r="E8" s="9">
        <v>280</v>
      </c>
      <c r="F8" t="s">
        <v>2</v>
      </c>
      <c r="G8"/>
      <c r="H8"/>
      <c r="I8" s="20" t="s">
        <v>17</v>
      </c>
      <c r="J8"/>
      <c r="K8" s="10" t="s">
        <v>1</v>
      </c>
      <c r="L8" s="9" t="s">
        <v>18</v>
      </c>
      <c r="M8"/>
      <c r="N8"/>
      <c r="O8" t="s">
        <v>124</v>
      </c>
      <c r="P8" t="s">
        <v>1</v>
      </c>
      <c r="Q8">
        <v>0.8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</row>
    <row r="9" spans="1:166" x14ac:dyDescent="0.2">
      <c r="A9"/>
      <c r="B9"/>
      <c r="C9"/>
      <c r="D9"/>
      <c r="E9"/>
      <c r="F9"/>
      <c r="G9"/>
      <c r="H9"/>
      <c r="I9" s="20" t="s">
        <v>19</v>
      </c>
      <c r="J9"/>
      <c r="K9" t="s">
        <v>1</v>
      </c>
      <c r="L9" s="9">
        <v>2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</row>
    <row r="10" spans="1:166" x14ac:dyDescent="0.2">
      <c r="A10" s="7" t="s">
        <v>5</v>
      </c>
      <c r="B10"/>
      <c r="C10"/>
      <c r="D10"/>
      <c r="E10"/>
      <c r="F10"/>
      <c r="G10"/>
      <c r="H10"/>
      <c r="I10"/>
      <c r="J10"/>
      <c r="K10"/>
      <c r="L10"/>
      <c r="M10"/>
      <c r="N10"/>
      <c r="O10" t="s">
        <v>125</v>
      </c>
      <c r="P10" t="s">
        <v>1</v>
      </c>
      <c r="Q10">
        <v>0.8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</row>
    <row r="11" spans="1:166" x14ac:dyDescent="0.2">
      <c r="A11"/>
      <c r="B11" s="20" t="s">
        <v>185</v>
      </c>
      <c r="C11" s="20" t="s">
        <v>187</v>
      </c>
      <c r="D11" s="10" t="s">
        <v>1</v>
      </c>
      <c r="E11" s="9">
        <v>20</v>
      </c>
      <c r="F11" t="s">
        <v>10</v>
      </c>
      <c r="G11"/>
      <c r="H11"/>
      <c r="I11" s="20" t="s">
        <v>21</v>
      </c>
      <c r="J11" s="20" t="s">
        <v>22</v>
      </c>
      <c r="K11" s="10" t="s">
        <v>1</v>
      </c>
      <c r="L11" s="9">
        <v>1.25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</row>
    <row r="12" spans="1:166" x14ac:dyDescent="0.2">
      <c r="A12"/>
      <c r="B12" s="20" t="s">
        <v>186</v>
      </c>
      <c r="C12" s="20" t="s">
        <v>188</v>
      </c>
      <c r="D12" t="s">
        <v>1</v>
      </c>
      <c r="E12" s="9">
        <v>30</v>
      </c>
      <c r="F12" t="s">
        <v>10</v>
      </c>
      <c r="G12"/>
      <c r="H12"/>
      <c r="I12"/>
      <c r="J12"/>
      <c r="K12"/>
      <c r="L12"/>
      <c r="M12"/>
      <c r="N12"/>
      <c r="O12" t="s">
        <v>126</v>
      </c>
      <c r="P12" t="s">
        <v>1</v>
      </c>
      <c r="Q12">
        <v>0.8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</row>
    <row r="13" spans="1:166" x14ac:dyDescent="0.2">
      <c r="A13"/>
      <c r="B13" s="20" t="s">
        <v>13</v>
      </c>
      <c r="C13" s="20" t="s">
        <v>189</v>
      </c>
      <c r="D13" t="s">
        <v>1</v>
      </c>
      <c r="E13" s="9">
        <v>10</v>
      </c>
      <c r="F13" t="s">
        <v>15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</row>
    <row r="14" spans="1:166" x14ac:dyDescent="0.2">
      <c r="A14"/>
      <c r="B14" s="20" t="s">
        <v>20</v>
      </c>
      <c r="C14"/>
      <c r="D14" s="10" t="s">
        <v>1</v>
      </c>
      <c r="E14" s="9" t="s">
        <v>40</v>
      </c>
      <c r="F14"/>
      <c r="G14"/>
      <c r="H14"/>
      <c r="I14"/>
      <c r="J14"/>
      <c r="K14"/>
      <c r="L14"/>
      <c r="M14"/>
      <c r="N14"/>
      <c r="O14" t="s">
        <v>176</v>
      </c>
      <c r="P14" t="s">
        <v>1</v>
      </c>
      <c r="Q14">
        <v>55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</row>
    <row r="15" spans="1:166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</row>
    <row r="16" spans="1:166" x14ac:dyDescent="0.2">
      <c r="A16" s="7" t="s">
        <v>51</v>
      </c>
      <c r="B16"/>
      <c r="C16"/>
      <c r="D16"/>
      <c r="E16"/>
      <c r="F16"/>
      <c r="G16"/>
      <c r="H16" s="7" t="s">
        <v>23</v>
      </c>
      <c r="I16"/>
      <c r="J16"/>
      <c r="K16"/>
      <c r="L16"/>
      <c r="M16"/>
      <c r="N16"/>
      <c r="O16" t="s">
        <v>167</v>
      </c>
      <c r="P16" t="s">
        <v>1</v>
      </c>
      <c r="Q16">
        <v>245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</row>
    <row r="17" spans="1:166" x14ac:dyDescent="0.2">
      <c r="A17"/>
      <c r="B17" t="s">
        <v>53</v>
      </c>
      <c r="C17" t="s">
        <v>52</v>
      </c>
      <c r="D17" s="10" t="s">
        <v>1</v>
      </c>
      <c r="E17" s="9">
        <v>2</v>
      </c>
      <c r="F17"/>
      <c r="G17"/>
      <c r="H17"/>
      <c r="I17" s="20" t="s">
        <v>190</v>
      </c>
      <c r="J17"/>
      <c r="K17" s="10" t="s">
        <v>1</v>
      </c>
      <c r="L17" s="9">
        <v>8.8000000000000007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</row>
    <row r="18" spans="1:166" x14ac:dyDescent="0.2">
      <c r="A18"/>
      <c r="B18" t="s">
        <v>54</v>
      </c>
      <c r="C18" t="s">
        <v>55</v>
      </c>
      <c r="D18" s="10" t="s">
        <v>1</v>
      </c>
      <c r="E18" s="9">
        <v>12</v>
      </c>
      <c r="F18" t="s">
        <v>2</v>
      </c>
      <c r="G18"/>
      <c r="H18"/>
      <c r="I18" s="20" t="s">
        <v>41</v>
      </c>
      <c r="J18" t="s">
        <v>56</v>
      </c>
      <c r="K18" s="10" t="s">
        <v>1</v>
      </c>
      <c r="L18" s="9">
        <v>20</v>
      </c>
      <c r="M18" t="s">
        <v>2</v>
      </c>
      <c r="N18"/>
      <c r="O18" t="s">
        <v>130</v>
      </c>
      <c r="P18" t="s">
        <v>1</v>
      </c>
      <c r="Q18">
        <v>1.6500000000000001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</row>
    <row r="19" spans="1:166" x14ac:dyDescent="0.2">
      <c r="A19"/>
      <c r="B19" t="s">
        <v>115</v>
      </c>
      <c r="C19"/>
      <c r="D19" s="10" t="s">
        <v>1</v>
      </c>
      <c r="E19" s="9">
        <v>25</v>
      </c>
      <c r="F19" t="s">
        <v>2</v>
      </c>
      <c r="G19"/>
      <c r="H19"/>
      <c r="I19" s="20" t="s">
        <v>43</v>
      </c>
      <c r="J19"/>
      <c r="K19" s="10" t="s">
        <v>1</v>
      </c>
      <c r="L19" s="9" t="s">
        <v>44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</row>
    <row r="20" spans="1:166" x14ac:dyDescent="0.2">
      <c r="A20"/>
      <c r="B20"/>
      <c r="C20"/>
      <c r="D20"/>
      <c r="E20"/>
      <c r="F20"/>
      <c r="G20"/>
      <c r="H20"/>
      <c r="I20" s="21" t="s">
        <v>46</v>
      </c>
      <c r="J20" s="11"/>
      <c r="K20" s="11" t="s">
        <v>1</v>
      </c>
      <c r="L20" s="11" t="s">
        <v>48</v>
      </c>
      <c r="M20" s="12"/>
      <c r="N20"/>
      <c r="O20" t="s">
        <v>131</v>
      </c>
      <c r="P20" t="s">
        <v>1</v>
      </c>
      <c r="Q20">
        <v>400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</row>
    <row r="21" spans="1:166" x14ac:dyDescent="0.2">
      <c r="A21"/>
      <c r="B21" t="s">
        <v>61</v>
      </c>
      <c r="C21"/>
      <c r="D21" s="10" t="s">
        <v>1</v>
      </c>
      <c r="E21" s="9" t="s">
        <v>63</v>
      </c>
      <c r="F21"/>
      <c r="G21"/>
      <c r="H21"/>
      <c r="I21" s="21" t="s">
        <v>49</v>
      </c>
      <c r="J21" s="11" t="s">
        <v>57</v>
      </c>
      <c r="K21" s="11" t="s">
        <v>1</v>
      </c>
      <c r="L21" s="11">
        <v>30</v>
      </c>
      <c r="M21" s="11" t="s">
        <v>2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</row>
    <row r="22" spans="1:166" x14ac:dyDescent="0.2">
      <c r="A22"/>
      <c r="B22"/>
      <c r="C22"/>
      <c r="D22"/>
      <c r="E22"/>
      <c r="F22"/>
      <c r="G22"/>
      <c r="H22"/>
      <c r="I22" s="21" t="s">
        <v>50</v>
      </c>
      <c r="J22" s="11" t="s">
        <v>58</v>
      </c>
      <c r="K22" s="11" t="s">
        <v>1</v>
      </c>
      <c r="L22" s="11">
        <v>12</v>
      </c>
      <c r="M22" s="11" t="s">
        <v>2</v>
      </c>
      <c r="N22"/>
      <c r="O22" t="s">
        <v>132</v>
      </c>
      <c r="P22" t="s">
        <v>1</v>
      </c>
      <c r="Q22">
        <v>240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</row>
    <row r="23" spans="1:166" x14ac:dyDescent="0.2">
      <c r="A23"/>
      <c r="B23" s="13" t="s">
        <v>59</v>
      </c>
      <c r="C23" s="13" t="s">
        <v>60</v>
      </c>
      <c r="D23" s="14" t="s">
        <v>1</v>
      </c>
      <c r="E23" s="15">
        <v>125</v>
      </c>
      <c r="F23" s="13" t="s">
        <v>2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</row>
    <row r="24" spans="1:166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 t="s">
        <v>177</v>
      </c>
      <c r="P24" t="s">
        <v>1</v>
      </c>
      <c r="Q24">
        <v>65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</row>
    <row r="25" spans="1:166" x14ac:dyDescent="0.2">
      <c r="A25"/>
      <c r="B25" s="11" t="s">
        <v>104</v>
      </c>
      <c r="C25" s="11" t="s">
        <v>64</v>
      </c>
      <c r="D25" s="16" t="s">
        <v>1</v>
      </c>
      <c r="E25" s="11">
        <v>2</v>
      </c>
      <c r="F25" s="23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</row>
    <row r="26" spans="1:166" x14ac:dyDescent="0.2">
      <c r="A26"/>
      <c r="B26" s="11" t="s">
        <v>105</v>
      </c>
      <c r="C26" s="11" t="s">
        <v>65</v>
      </c>
      <c r="D26" s="16" t="s">
        <v>1</v>
      </c>
      <c r="E26" s="11">
        <v>2</v>
      </c>
      <c r="F26" s="23"/>
      <c r="G26" s="12"/>
      <c r="H26"/>
      <c r="I26"/>
      <c r="J26"/>
      <c r="K26"/>
      <c r="L26"/>
      <c r="M26"/>
      <c r="N26"/>
      <c r="O26" t="s">
        <v>178</v>
      </c>
      <c r="P26" t="s">
        <v>1</v>
      </c>
      <c r="Q26">
        <v>30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</row>
    <row r="27" spans="1:166" x14ac:dyDescent="0.2">
      <c r="A27"/>
      <c r="B27"/>
      <c r="C27"/>
      <c r="D27"/>
      <c r="E27"/>
      <c r="F27"/>
      <c r="G27" s="11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</row>
    <row r="28" spans="1:166" x14ac:dyDescent="0.2">
      <c r="A28"/>
      <c r="B28" s="11" t="s">
        <v>66</v>
      </c>
      <c r="C28" s="11" t="s">
        <v>67</v>
      </c>
      <c r="D28" s="16" t="s">
        <v>1</v>
      </c>
      <c r="E28" s="11">
        <v>100</v>
      </c>
      <c r="F28" s="11" t="s">
        <v>2</v>
      </c>
      <c r="G28" s="11"/>
      <c r="H28" s="12"/>
      <c r="I28" s="12"/>
      <c r="J28"/>
      <c r="K28"/>
      <c r="L28"/>
      <c r="M28"/>
      <c r="N28"/>
      <c r="O28" t="s">
        <v>149</v>
      </c>
      <c r="P28" t="s">
        <v>1</v>
      </c>
      <c r="Q28">
        <v>55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</row>
    <row r="29" spans="1:166" x14ac:dyDescent="0.2">
      <c r="A29"/>
      <c r="B29" s="11" t="s">
        <v>106</v>
      </c>
      <c r="C29" s="11" t="s">
        <v>68</v>
      </c>
      <c r="D29" s="16" t="s">
        <v>1</v>
      </c>
      <c r="E29" s="11">
        <v>100</v>
      </c>
      <c r="F29" s="11" t="s">
        <v>2</v>
      </c>
      <c r="G29"/>
      <c r="H29" s="11"/>
      <c r="I29" s="11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</row>
    <row r="30" spans="1:166" x14ac:dyDescent="0.2">
      <c r="A30"/>
      <c r="B30"/>
      <c r="C30"/>
      <c r="D30"/>
      <c r="E30"/>
      <c r="F30"/>
      <c r="G30"/>
      <c r="H30" s="11"/>
      <c r="I30" s="11"/>
      <c r="J30"/>
      <c r="K30"/>
      <c r="L30"/>
      <c r="M30"/>
      <c r="N30"/>
      <c r="O30" t="s">
        <v>151</v>
      </c>
      <c r="P30" t="s">
        <v>1</v>
      </c>
      <c r="Q30" t="s">
        <v>180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</row>
    <row r="31" spans="1:166" x14ac:dyDescent="0.2">
      <c r="A31"/>
      <c r="B31" s="11" t="s">
        <v>69</v>
      </c>
      <c r="C31" s="11" t="s">
        <v>71</v>
      </c>
      <c r="D31" s="16" t="s">
        <v>1</v>
      </c>
      <c r="E31" s="11">
        <v>150</v>
      </c>
      <c r="F31" s="11" t="s">
        <v>2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</row>
    <row r="32" spans="1:166" x14ac:dyDescent="0.2">
      <c r="A32"/>
      <c r="B32" s="11" t="s">
        <v>70</v>
      </c>
      <c r="C32" s="11"/>
      <c r="D32" s="16" t="s">
        <v>1</v>
      </c>
      <c r="E32" s="11">
        <v>6</v>
      </c>
      <c r="F32" s="11"/>
      <c r="G32"/>
      <c r="H32"/>
      <c r="I32"/>
      <c r="J32"/>
      <c r="K32"/>
      <c r="L32"/>
      <c r="M32"/>
      <c r="N32"/>
      <c r="O32" t="s">
        <v>152</v>
      </c>
      <c r="P32" t="s">
        <v>1</v>
      </c>
      <c r="Q32" t="s">
        <v>181</v>
      </c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</row>
    <row r="33" spans="1:166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</row>
    <row r="34" spans="1:166" x14ac:dyDescent="0.2">
      <c r="A34" s="7" t="s">
        <v>191</v>
      </c>
      <c r="B34"/>
      <c r="C34"/>
      <c r="D34"/>
      <c r="E34"/>
      <c r="F34"/>
      <c r="G34" s="11"/>
      <c r="H34" s="7" t="s">
        <v>166</v>
      </c>
      <c r="I34"/>
      <c r="J34"/>
      <c r="K34"/>
      <c r="L34"/>
      <c r="M34"/>
      <c r="N34"/>
      <c r="O34" t="s">
        <v>153</v>
      </c>
      <c r="P34" t="s">
        <v>1</v>
      </c>
      <c r="Q34" t="s">
        <v>182</v>
      </c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</row>
    <row r="35" spans="1:166" x14ac:dyDescent="0.2">
      <c r="A35"/>
      <c r="B35" t="s">
        <v>112</v>
      </c>
      <c r="C35"/>
      <c r="D35"/>
      <c r="E35" s="9">
        <v>50</v>
      </c>
      <c r="F35" t="s">
        <v>2</v>
      </c>
      <c r="G35" s="11"/>
      <c r="H35"/>
      <c r="I35" t="s">
        <v>143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</row>
    <row r="36" spans="1:166" x14ac:dyDescent="0.2">
      <c r="A36"/>
      <c r="B36"/>
      <c r="C36"/>
      <c r="D36"/>
      <c r="E36"/>
      <c r="F36"/>
      <c r="G36"/>
      <c r="H36"/>
      <c r="I36" t="s">
        <v>144</v>
      </c>
      <c r="J36"/>
      <c r="K36"/>
      <c r="L36"/>
      <c r="M36"/>
      <c r="N36"/>
      <c r="O36" t="s">
        <v>154</v>
      </c>
      <c r="P36" t="s">
        <v>1</v>
      </c>
      <c r="Q36" t="s">
        <v>183</v>
      </c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</row>
    <row r="37" spans="1:166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</row>
    <row r="38" spans="1:166" x14ac:dyDescent="0.2">
      <c r="A38"/>
      <c r="B38" t="s">
        <v>116</v>
      </c>
      <c r="C38"/>
      <c r="D38"/>
      <c r="E38" s="9" t="s">
        <v>101</v>
      </c>
      <c r="F38" t="s">
        <v>179</v>
      </c>
      <c r="G38"/>
      <c r="H38"/>
      <c r="I38"/>
      <c r="J38"/>
      <c r="K38"/>
      <c r="L38"/>
      <c r="M38"/>
      <c r="N38"/>
      <c r="O38" t="s">
        <v>168</v>
      </c>
      <c r="P38" t="s">
        <v>1</v>
      </c>
      <c r="Q38" t="s">
        <v>175</v>
      </c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</row>
    <row r="39" spans="1:166" x14ac:dyDescent="0.2">
      <c r="A39"/>
      <c r="B39" t="s">
        <v>141</v>
      </c>
      <c r="C39"/>
      <c r="D39"/>
      <c r="E39" s="9" t="s">
        <v>101</v>
      </c>
      <c r="F39" t="s">
        <v>179</v>
      </c>
      <c r="G39"/>
      <c r="H39" s="13"/>
      <c r="I39" s="13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</row>
    <row r="40" spans="1:166" x14ac:dyDescent="0.2">
      <c r="A40"/>
      <c r="B40" t="s">
        <v>142</v>
      </c>
      <c r="C40"/>
      <c r="D40"/>
      <c r="E40"/>
      <c r="F40"/>
      <c r="G40"/>
      <c r="H40"/>
      <c r="I40"/>
      <c r="J40"/>
      <c r="K40"/>
      <c r="L40"/>
      <c r="M40"/>
      <c r="N40"/>
      <c r="O40" t="s">
        <v>127</v>
      </c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</row>
    <row r="41" spans="1:166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 t="s">
        <v>72</v>
      </c>
      <c r="P41" t="s">
        <v>75</v>
      </c>
      <c r="Q41"/>
      <c r="R41"/>
      <c r="S41" t="s">
        <v>78</v>
      </c>
      <c r="T41"/>
      <c r="U41"/>
      <c r="V41"/>
      <c r="W41"/>
      <c r="X41"/>
      <c r="Y41"/>
      <c r="Z41"/>
      <c r="AA41" t="s">
        <v>87</v>
      </c>
      <c r="AB41"/>
      <c r="AC41"/>
      <c r="AD41"/>
      <c r="AE41"/>
      <c r="AF41"/>
      <c r="AG41"/>
      <c r="AH41"/>
      <c r="AI41"/>
      <c r="AJ41"/>
      <c r="AK41"/>
      <c r="AL41"/>
      <c r="AM41" t="s">
        <v>92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</row>
    <row r="42" spans="1:166" x14ac:dyDescent="0.2">
      <c r="A42"/>
      <c r="B42"/>
      <c r="C42"/>
      <c r="D42"/>
      <c r="E42"/>
      <c r="F42"/>
      <c r="G42" s="11"/>
      <c r="H42"/>
      <c r="I42"/>
      <c r="J42"/>
      <c r="K42"/>
      <c r="L42"/>
      <c r="M42"/>
      <c r="N42"/>
      <c r="O42"/>
      <c r="P42"/>
      <c r="Q42"/>
      <c r="R42"/>
      <c r="S42" t="s">
        <v>77</v>
      </c>
      <c r="T42"/>
      <c r="U42"/>
      <c r="V42" t="s">
        <v>77</v>
      </c>
      <c r="W42"/>
      <c r="X42"/>
      <c r="Y42" t="s">
        <v>84</v>
      </c>
      <c r="Z42" t="s">
        <v>81</v>
      </c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</row>
    <row r="43" spans="1:166" x14ac:dyDescent="0.2">
      <c r="A43"/>
      <c r="B43"/>
      <c r="C43"/>
      <c r="D43"/>
      <c r="E43"/>
      <c r="F43"/>
      <c r="G43" s="11"/>
      <c r="H43"/>
      <c r="I43"/>
      <c r="J43"/>
      <c r="K43"/>
      <c r="L43"/>
      <c r="M43"/>
      <c r="N43"/>
      <c r="O43"/>
      <c r="P43" t="s">
        <v>73</v>
      </c>
      <c r="Q43" t="s">
        <v>74</v>
      </c>
      <c r="R43" t="s">
        <v>76</v>
      </c>
      <c r="S43" t="s">
        <v>133</v>
      </c>
      <c r="T43" t="s">
        <v>134</v>
      </c>
      <c r="U43" t="s">
        <v>79</v>
      </c>
      <c r="V43" t="s">
        <v>135</v>
      </c>
      <c r="W43" t="s">
        <v>136</v>
      </c>
      <c r="X43" t="s">
        <v>80</v>
      </c>
      <c r="Y43" t="s">
        <v>83</v>
      </c>
      <c r="Z43" t="s">
        <v>82</v>
      </c>
      <c r="AA43" t="s">
        <v>67</v>
      </c>
      <c r="AB43"/>
      <c r="AC43" t="s">
        <v>68</v>
      </c>
      <c r="AD43"/>
      <c r="AE43" t="s">
        <v>88</v>
      </c>
      <c r="AF43"/>
      <c r="AG43" t="s">
        <v>89</v>
      </c>
      <c r="AH43"/>
      <c r="AI43" t="s">
        <v>90</v>
      </c>
      <c r="AJ43"/>
      <c r="AK43" t="s">
        <v>91</v>
      </c>
      <c r="AL43"/>
      <c r="AM43" t="s">
        <v>93</v>
      </c>
      <c r="AN43" t="s">
        <v>94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</row>
    <row r="44" spans="1:166" x14ac:dyDescent="0.2">
      <c r="A44"/>
      <c r="B44"/>
      <c r="C44"/>
      <c r="D44"/>
      <c r="E44"/>
      <c r="F44"/>
      <c r="G44"/>
      <c r="H44" s="11"/>
      <c r="I44" s="11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 t="s">
        <v>137</v>
      </c>
      <c r="AB44" t="s">
        <v>138</v>
      </c>
      <c r="AC44" t="s">
        <v>137</v>
      </c>
      <c r="AD44" t="s">
        <v>138</v>
      </c>
      <c r="AE44" t="s">
        <v>137</v>
      </c>
      <c r="AF44" t="s">
        <v>138</v>
      </c>
      <c r="AG44" t="s">
        <v>137</v>
      </c>
      <c r="AH44" t="s">
        <v>138</v>
      </c>
      <c r="AI44" t="s">
        <v>137</v>
      </c>
      <c r="AJ44" t="s">
        <v>138</v>
      </c>
      <c r="AK44" t="s">
        <v>137</v>
      </c>
      <c r="AL44" t="s">
        <v>138</v>
      </c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</row>
    <row r="45" spans="1:166" x14ac:dyDescent="0.2">
      <c r="A45"/>
      <c r="B45"/>
      <c r="C45"/>
      <c r="D45"/>
      <c r="E45"/>
      <c r="F45"/>
      <c r="G45"/>
      <c r="H45" s="11"/>
      <c r="I45" s="11"/>
      <c r="J45"/>
      <c r="K45"/>
      <c r="L45"/>
      <c r="M45"/>
      <c r="N45"/>
      <c r="O45"/>
      <c r="P45" t="s">
        <v>2</v>
      </c>
      <c r="Q45" t="s">
        <v>2</v>
      </c>
      <c r="R45" t="s">
        <v>139</v>
      </c>
      <c r="S45" t="s">
        <v>10</v>
      </c>
      <c r="T45" t="s">
        <v>10</v>
      </c>
      <c r="U45" t="s">
        <v>10</v>
      </c>
      <c r="V45" t="s">
        <v>10</v>
      </c>
      <c r="W45" t="s">
        <v>10</v>
      </c>
      <c r="X45" t="s">
        <v>10</v>
      </c>
      <c r="Y45" t="s">
        <v>140</v>
      </c>
      <c r="Z45" t="s">
        <v>10</v>
      </c>
      <c r="AA45" t="s">
        <v>2</v>
      </c>
      <c r="AB45"/>
      <c r="AC45" t="s">
        <v>2</v>
      </c>
      <c r="AD45"/>
      <c r="AE45" t="s">
        <v>2</v>
      </c>
      <c r="AF45"/>
      <c r="AG45" t="s">
        <v>2</v>
      </c>
      <c r="AH45"/>
      <c r="AI45" t="s">
        <v>2</v>
      </c>
      <c r="AJ45"/>
      <c r="AK45" t="s">
        <v>2</v>
      </c>
      <c r="AL45"/>
      <c r="AM45" t="s">
        <v>10</v>
      </c>
      <c r="AN45" t="s">
        <v>10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</row>
    <row r="46" spans="1:166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>
        <v>1</v>
      </c>
      <c r="P46">
        <v>-50</v>
      </c>
      <c r="Q46">
        <v>-50</v>
      </c>
      <c r="R46">
        <v>70.7</v>
      </c>
      <c r="S46">
        <v>-2.5</v>
      </c>
      <c r="T46">
        <v>-8.09</v>
      </c>
      <c r="U46">
        <v>-10.59</v>
      </c>
      <c r="V46">
        <v>3.75</v>
      </c>
      <c r="W46">
        <v>-8.09</v>
      </c>
      <c r="X46">
        <v>-4.34</v>
      </c>
      <c r="Y46">
        <v>22</v>
      </c>
      <c r="Z46">
        <v>11.45</v>
      </c>
      <c r="AA46">
        <v>91</v>
      </c>
      <c r="AB46">
        <v>100</v>
      </c>
      <c r="AC46">
        <v>80</v>
      </c>
      <c r="AD46">
        <v>100</v>
      </c>
      <c r="AE46">
        <v>0</v>
      </c>
      <c r="AF46">
        <v>225</v>
      </c>
      <c r="AG46" t="s">
        <v>117</v>
      </c>
      <c r="AH46" t="s">
        <v>117</v>
      </c>
      <c r="AI46">
        <v>73</v>
      </c>
      <c r="AJ46">
        <v>650</v>
      </c>
      <c r="AK46">
        <v>60</v>
      </c>
      <c r="AL46">
        <v>350</v>
      </c>
      <c r="AM46">
        <v>19</v>
      </c>
      <c r="AN46">
        <v>12.2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</row>
    <row r="47" spans="1:166" x14ac:dyDescent="0.2">
      <c r="A47"/>
      <c r="B47"/>
      <c r="C47"/>
      <c r="D47"/>
      <c r="E47"/>
      <c r="F47"/>
      <c r="G47"/>
      <c r="H47" s="11"/>
      <c r="I47" s="11"/>
      <c r="J47"/>
      <c r="K47"/>
      <c r="L47"/>
      <c r="M47"/>
      <c r="N47"/>
      <c r="O47">
        <v>2</v>
      </c>
      <c r="P47">
        <v>-50</v>
      </c>
      <c r="Q47">
        <v>50</v>
      </c>
      <c r="R47">
        <v>70.7</v>
      </c>
      <c r="S47">
        <v>-2.5</v>
      </c>
      <c r="T47">
        <v>-8.09</v>
      </c>
      <c r="U47">
        <v>-10.59</v>
      </c>
      <c r="V47">
        <v>3.75</v>
      </c>
      <c r="W47">
        <v>8.09</v>
      </c>
      <c r="X47">
        <v>11.84</v>
      </c>
      <c r="Y47">
        <v>-48</v>
      </c>
      <c r="Z47">
        <v>15.89</v>
      </c>
      <c r="AA47">
        <v>91</v>
      </c>
      <c r="AB47">
        <v>100</v>
      </c>
      <c r="AC47">
        <v>80</v>
      </c>
      <c r="AD47">
        <v>100</v>
      </c>
      <c r="AE47">
        <v>0</v>
      </c>
      <c r="AF47">
        <v>125</v>
      </c>
      <c r="AG47" t="s">
        <v>117</v>
      </c>
      <c r="AH47" t="s">
        <v>117</v>
      </c>
      <c r="AI47">
        <v>73</v>
      </c>
      <c r="AJ47">
        <v>350</v>
      </c>
      <c r="AK47">
        <v>60</v>
      </c>
      <c r="AL47">
        <v>650</v>
      </c>
      <c r="AM47">
        <v>16.399999999999999</v>
      </c>
      <c r="AN47">
        <v>10.5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</row>
    <row r="48" spans="1:166" x14ac:dyDescent="0.2">
      <c r="A48"/>
      <c r="B48"/>
      <c r="C48"/>
      <c r="D48"/>
      <c r="E48"/>
      <c r="F48"/>
      <c r="G48"/>
      <c r="H48" s="11"/>
      <c r="I48" s="11"/>
      <c r="J48"/>
      <c r="K48"/>
      <c r="L48"/>
      <c r="M48"/>
      <c r="N48"/>
      <c r="O48">
        <v>3</v>
      </c>
      <c r="P48">
        <v>50</v>
      </c>
      <c r="Q48">
        <v>-50</v>
      </c>
      <c r="R48">
        <v>70.7</v>
      </c>
      <c r="S48">
        <v>-2.5</v>
      </c>
      <c r="T48">
        <v>8.09</v>
      </c>
      <c r="U48">
        <v>5.59</v>
      </c>
      <c r="V48">
        <v>3.75</v>
      </c>
      <c r="W48">
        <v>-8.09</v>
      </c>
      <c r="X48">
        <v>-4.34</v>
      </c>
      <c r="Y48">
        <v>-38</v>
      </c>
      <c r="Z48">
        <v>7.08</v>
      </c>
      <c r="AA48">
        <v>91</v>
      </c>
      <c r="AB48">
        <v>100</v>
      </c>
      <c r="AC48">
        <v>80</v>
      </c>
      <c r="AD48">
        <v>100</v>
      </c>
      <c r="AE48" t="s">
        <v>117</v>
      </c>
      <c r="AF48" t="s">
        <v>117</v>
      </c>
      <c r="AG48">
        <v>120</v>
      </c>
      <c r="AH48">
        <v>225</v>
      </c>
      <c r="AI48">
        <v>73</v>
      </c>
      <c r="AJ48">
        <v>550</v>
      </c>
      <c r="AK48">
        <v>60</v>
      </c>
      <c r="AL48">
        <v>250</v>
      </c>
      <c r="AM48">
        <v>17.399999999999999</v>
      </c>
      <c r="AN48">
        <v>11.1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</row>
    <row r="49" spans="1:166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>
        <v>4</v>
      </c>
      <c r="P49">
        <v>50</v>
      </c>
      <c r="Q49">
        <v>50</v>
      </c>
      <c r="R49">
        <v>70.7</v>
      </c>
      <c r="S49">
        <v>-2.5</v>
      </c>
      <c r="T49">
        <v>8.09</v>
      </c>
      <c r="U49">
        <v>5.59</v>
      </c>
      <c r="V49">
        <v>3.75</v>
      </c>
      <c r="W49">
        <v>8.09</v>
      </c>
      <c r="X49">
        <v>11.84</v>
      </c>
      <c r="Y49">
        <v>65</v>
      </c>
      <c r="Z49">
        <v>13.1</v>
      </c>
      <c r="AA49">
        <v>91</v>
      </c>
      <c r="AB49">
        <v>100</v>
      </c>
      <c r="AC49">
        <v>80</v>
      </c>
      <c r="AD49">
        <v>100</v>
      </c>
      <c r="AE49" t="s">
        <v>117</v>
      </c>
      <c r="AF49" t="s">
        <v>117</v>
      </c>
      <c r="AG49">
        <v>120</v>
      </c>
      <c r="AH49">
        <v>125</v>
      </c>
      <c r="AI49">
        <v>73</v>
      </c>
      <c r="AJ49">
        <v>250</v>
      </c>
      <c r="AK49">
        <v>60</v>
      </c>
      <c r="AL49">
        <v>550</v>
      </c>
      <c r="AM49">
        <v>15.2</v>
      </c>
      <c r="AN49">
        <v>9.6999999999999993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</row>
    <row r="50" spans="1:166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</row>
    <row r="51" spans="1:166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</row>
    <row r="52" spans="1:166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</row>
    <row r="53" spans="1:166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t="s">
        <v>128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</row>
    <row r="54" spans="1:166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 t="s">
        <v>146</v>
      </c>
      <c r="P54" t="s">
        <v>100</v>
      </c>
      <c r="Q54" t="s">
        <v>86</v>
      </c>
      <c r="R54" t="s">
        <v>85</v>
      </c>
      <c r="S54" t="s">
        <v>96</v>
      </c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</row>
    <row r="55" spans="1:166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 t="s">
        <v>74</v>
      </c>
      <c r="R55"/>
      <c r="S55" t="s">
        <v>95</v>
      </c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</row>
    <row r="56" spans="1:166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 t="s">
        <v>2</v>
      </c>
      <c r="R56" t="s">
        <v>10</v>
      </c>
      <c r="S56" t="s">
        <v>10</v>
      </c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</row>
    <row r="57" spans="1:166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>
        <v>1</v>
      </c>
      <c r="P57">
        <v>2</v>
      </c>
      <c r="Q57">
        <v>-50</v>
      </c>
      <c r="R57">
        <v>-8.69</v>
      </c>
      <c r="S57">
        <v>14.28</v>
      </c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</row>
    <row r="58" spans="1:166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>
        <v>2</v>
      </c>
      <c r="P58">
        <v>2</v>
      </c>
      <c r="Q58">
        <v>50</v>
      </c>
      <c r="R58">
        <v>23.69</v>
      </c>
      <c r="S58">
        <v>14.28</v>
      </c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</row>
    <row r="59" spans="1:166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</row>
    <row r="60" spans="1:166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</row>
    <row r="61" spans="1:166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 t="s">
        <v>129</v>
      </c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</row>
    <row r="62" spans="1:166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 t="s">
        <v>147</v>
      </c>
      <c r="P62" t="s">
        <v>100</v>
      </c>
      <c r="Q62" t="s">
        <v>86</v>
      </c>
      <c r="R62" t="s">
        <v>148</v>
      </c>
      <c r="S62" t="s">
        <v>97</v>
      </c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</row>
    <row r="63" spans="1:166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 t="s">
        <v>73</v>
      </c>
      <c r="R63"/>
      <c r="S63" t="s">
        <v>98</v>
      </c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</row>
    <row r="64" spans="1:166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 t="s">
        <v>2</v>
      </c>
      <c r="R64" t="s">
        <v>10</v>
      </c>
      <c r="S64" t="s">
        <v>10</v>
      </c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</row>
    <row r="65" spans="1:166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>
        <v>1</v>
      </c>
      <c r="P65">
        <v>2</v>
      </c>
      <c r="Q65">
        <v>-50</v>
      </c>
      <c r="R65">
        <v>-21.19</v>
      </c>
      <c r="S65">
        <v>14.31</v>
      </c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</row>
    <row r="66" spans="1:166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>
        <v>2</v>
      </c>
      <c r="P66">
        <v>2</v>
      </c>
      <c r="Q66">
        <v>50</v>
      </c>
      <c r="R66">
        <v>11.19</v>
      </c>
      <c r="S66">
        <v>14.31</v>
      </c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</row>
    <row r="67" spans="1:166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</row>
    <row r="68" spans="1:166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</row>
    <row r="69" spans="1:166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</row>
    <row r="70" spans="1:166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</row>
    <row r="71" spans="1:166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</row>
    <row r="72" spans="1:166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</row>
    <row r="73" spans="1:166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</row>
    <row r="74" spans="1:166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</row>
    <row r="75" spans="1:166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</row>
    <row r="76" spans="1:166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</row>
    <row r="77" spans="1:166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</row>
    <row r="78" spans="1:166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</row>
    <row r="79" spans="1:166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</row>
    <row r="80" spans="1:166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</row>
    <row r="81" spans="1:166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</row>
    <row r="82" spans="1:166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</row>
    <row r="83" spans="1:166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</row>
    <row r="84" spans="1:166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</row>
    <row r="85" spans="1:166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</row>
    <row r="86" spans="1:166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</row>
    <row r="87" spans="1:166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</row>
    <row r="88" spans="1:166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</row>
    <row r="89" spans="1:166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</row>
    <row r="90" spans="1:166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</row>
    <row r="91" spans="1:166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</row>
    <row r="92" spans="1:166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</row>
    <row r="93" spans="1:166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</row>
    <row r="94" spans="1:166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</row>
    <row r="95" spans="1:166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</row>
    <row r="96" spans="1:166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</row>
    <row r="97" spans="1:166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</row>
    <row r="98" spans="1:166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</row>
    <row r="99" spans="1:166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</row>
    <row r="100" spans="1:166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</row>
    <row r="101" spans="1:166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</row>
    <row r="102" spans="1:166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</row>
    <row r="103" spans="1:166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</row>
    <row r="104" spans="1:166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</row>
    <row r="105" spans="1:166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</row>
    <row r="106" spans="1:166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</row>
    <row r="107" spans="1:166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</row>
    <row r="108" spans="1:166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</row>
    <row r="109" spans="1:166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</row>
    <row r="110" spans="1:166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</row>
    <row r="111" spans="1:166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</row>
    <row r="112" spans="1:166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</row>
    <row r="113" spans="1:166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</row>
    <row r="114" spans="1:166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</row>
    <row r="115" spans="1:166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</row>
    <row r="116" spans="1:166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</row>
    <row r="117" spans="1:166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</row>
    <row r="118" spans="1:166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</row>
    <row r="119" spans="1:166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</row>
    <row r="120" spans="1:166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</row>
    <row r="121" spans="1:166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</row>
    <row r="122" spans="1:166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</row>
    <row r="123" spans="1:166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</row>
    <row r="124" spans="1:166" x14ac:dyDescent="0.2"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</row>
    <row r="125" spans="1:166" x14ac:dyDescent="0.2"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</row>
    <row r="126" spans="1:166" x14ac:dyDescent="0.2"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</row>
    <row r="127" spans="1:166" x14ac:dyDescent="0.2"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</row>
    <row r="128" spans="1:166" x14ac:dyDescent="0.2"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</row>
    <row r="129" spans="12:166" x14ac:dyDescent="0.2"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</row>
    <row r="130" spans="12:166" x14ac:dyDescent="0.2"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</row>
    <row r="131" spans="12:166" x14ac:dyDescent="0.2"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</row>
    <row r="132" spans="12:166" x14ac:dyDescent="0.2"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</row>
    <row r="133" spans="12:166" x14ac:dyDescent="0.2"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</row>
    <row r="134" spans="12:166" x14ac:dyDescent="0.2"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</row>
    <row r="135" spans="12:166" x14ac:dyDescent="0.2"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</row>
    <row r="136" spans="12:166" x14ac:dyDescent="0.2"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</row>
    <row r="137" spans="12:166" x14ac:dyDescent="0.2"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</row>
    <row r="138" spans="12:166" x14ac:dyDescent="0.2"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</row>
    <row r="139" spans="12:166" x14ac:dyDescent="0.2"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</row>
    <row r="140" spans="12:166" x14ac:dyDescent="0.2"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</row>
    <row r="141" spans="12:166" x14ac:dyDescent="0.2"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</row>
    <row r="142" spans="12:166" x14ac:dyDescent="0.2"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</row>
    <row r="143" spans="12:166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</row>
    <row r="144" spans="12:166" x14ac:dyDescent="0.2"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</row>
    <row r="145" spans="12:166" x14ac:dyDescent="0.2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</row>
    <row r="146" spans="12:166" x14ac:dyDescent="0.2"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</row>
    <row r="147" spans="12:166" x14ac:dyDescent="0.2"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</row>
    <row r="148" spans="12:166" x14ac:dyDescent="0.2"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</row>
    <row r="149" spans="12:166" x14ac:dyDescent="0.2"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</row>
    <row r="150" spans="12:166" x14ac:dyDescent="0.2"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</row>
    <row r="151" spans="12:166" x14ac:dyDescent="0.2"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</row>
    <row r="152" spans="12:166" x14ac:dyDescent="0.2"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</row>
    <row r="153" spans="12:166" x14ac:dyDescent="0.2"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</row>
    <row r="154" spans="12:166" x14ac:dyDescent="0.2"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</row>
    <row r="155" spans="12:166" x14ac:dyDescent="0.2"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</row>
    <row r="156" spans="12:166" x14ac:dyDescent="0.2"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</row>
    <row r="157" spans="12:166" x14ac:dyDescent="0.2"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</row>
    <row r="158" spans="12:166" x14ac:dyDescent="0.2"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</row>
    <row r="159" spans="12:166" x14ac:dyDescent="0.2"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</row>
    <row r="160" spans="12:166" x14ac:dyDescent="0.2"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</row>
    <row r="161" spans="12:166" x14ac:dyDescent="0.2"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</row>
    <row r="162" spans="12:166" x14ac:dyDescent="0.2"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</row>
    <row r="163" spans="12:166" x14ac:dyDescent="0.2"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</row>
    <row r="164" spans="12:166" x14ac:dyDescent="0.2"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</row>
    <row r="165" spans="12:166" x14ac:dyDescent="0.2"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</row>
    <row r="166" spans="12:166" x14ac:dyDescent="0.2"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</row>
    <row r="167" spans="12:166" x14ac:dyDescent="0.2"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</row>
    <row r="168" spans="12:166" x14ac:dyDescent="0.2"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</row>
    <row r="169" spans="12:166" x14ac:dyDescent="0.2"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</row>
    <row r="170" spans="12:166" x14ac:dyDescent="0.2"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</row>
    <row r="171" spans="12:166" x14ac:dyDescent="0.2"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</row>
    <row r="172" spans="12:166" x14ac:dyDescent="0.2"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</row>
    <row r="173" spans="12:166" x14ac:dyDescent="0.2"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</row>
    <row r="174" spans="12:166" x14ac:dyDescent="0.2"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</row>
    <row r="175" spans="12:166" x14ac:dyDescent="0.2"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</row>
    <row r="176" spans="12:166" x14ac:dyDescent="0.2"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</row>
    <row r="177" spans="12:166" x14ac:dyDescent="0.2"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</row>
    <row r="178" spans="12:166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</row>
    <row r="179" spans="12:166" x14ac:dyDescent="0.2"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</row>
    <row r="180" spans="12:166" x14ac:dyDescent="0.2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</row>
    <row r="181" spans="12:166" x14ac:dyDescent="0.2"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</row>
    <row r="182" spans="12:166" x14ac:dyDescent="0.2"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</row>
    <row r="183" spans="12:166" x14ac:dyDescent="0.2"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</row>
    <row r="184" spans="12:166" x14ac:dyDescent="0.2"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</row>
    <row r="185" spans="12:166" x14ac:dyDescent="0.2"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</row>
    <row r="186" spans="12:166" x14ac:dyDescent="0.2"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</row>
    <row r="187" spans="12:166" x14ac:dyDescent="0.2"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</row>
    <row r="188" spans="12:166" x14ac:dyDescent="0.2"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</row>
    <row r="189" spans="12:166" x14ac:dyDescent="0.2"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</row>
    <row r="190" spans="12:166" x14ac:dyDescent="0.2"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</row>
    <row r="191" spans="12:166" x14ac:dyDescent="0.2"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</row>
    <row r="192" spans="12:166" x14ac:dyDescent="0.2"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</row>
    <row r="193" spans="12:166" x14ac:dyDescent="0.2"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</row>
    <row r="194" spans="12:166" x14ac:dyDescent="0.2"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</row>
    <row r="195" spans="12:166" x14ac:dyDescent="0.2"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</row>
    <row r="196" spans="12:166" x14ac:dyDescent="0.2"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</row>
    <row r="197" spans="12:166" x14ac:dyDescent="0.2"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</row>
    <row r="198" spans="12:166" x14ac:dyDescent="0.2"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</row>
    <row r="199" spans="12:166" x14ac:dyDescent="0.2"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</row>
    <row r="200" spans="12:166" x14ac:dyDescent="0.2"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</row>
    <row r="201" spans="12:166" x14ac:dyDescent="0.2"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</row>
    <row r="202" spans="12:166" x14ac:dyDescent="0.2"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</row>
    <row r="203" spans="12:166" x14ac:dyDescent="0.2"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</row>
    <row r="204" spans="12:166" x14ac:dyDescent="0.2"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</row>
    <row r="205" spans="12:166" x14ac:dyDescent="0.2"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</row>
    <row r="206" spans="12:166" x14ac:dyDescent="0.2"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</row>
    <row r="207" spans="12:166" x14ac:dyDescent="0.2"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</row>
    <row r="208" spans="12:166" x14ac:dyDescent="0.2"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</row>
    <row r="209" spans="12:166" x14ac:dyDescent="0.2"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</row>
    <row r="210" spans="12:166" x14ac:dyDescent="0.2"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</row>
    <row r="211" spans="12:166" x14ac:dyDescent="0.2"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</row>
    <row r="212" spans="12:166" x14ac:dyDescent="0.2"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</row>
    <row r="213" spans="12:166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</row>
    <row r="214" spans="12:166" x14ac:dyDescent="0.2"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</row>
    <row r="215" spans="12:166" x14ac:dyDescent="0.2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</row>
    <row r="216" spans="12:166" x14ac:dyDescent="0.2"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</row>
    <row r="217" spans="12:166" x14ac:dyDescent="0.2"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</row>
    <row r="218" spans="12:166" x14ac:dyDescent="0.2"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</row>
    <row r="219" spans="12:166" x14ac:dyDescent="0.2"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</row>
    <row r="220" spans="12:166" x14ac:dyDescent="0.2"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</row>
    <row r="221" spans="12:166" x14ac:dyDescent="0.2"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</row>
    <row r="222" spans="12:166" x14ac:dyDescent="0.2"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</row>
    <row r="223" spans="12:166" x14ac:dyDescent="0.2"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</row>
    <row r="224" spans="12:166" x14ac:dyDescent="0.2"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</row>
    <row r="225" spans="12:166" x14ac:dyDescent="0.2"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</row>
    <row r="226" spans="12:166" x14ac:dyDescent="0.2"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</row>
    <row r="227" spans="12:166" x14ac:dyDescent="0.2"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</row>
    <row r="228" spans="12:166" x14ac:dyDescent="0.2"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</row>
    <row r="229" spans="12:166" x14ac:dyDescent="0.2"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</row>
    <row r="230" spans="12:166" x14ac:dyDescent="0.2"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</row>
    <row r="231" spans="12:166" x14ac:dyDescent="0.2"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</row>
    <row r="232" spans="12:166" x14ac:dyDescent="0.2"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</row>
    <row r="233" spans="12:166" x14ac:dyDescent="0.2"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</row>
    <row r="234" spans="12:166" x14ac:dyDescent="0.2"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</row>
    <row r="235" spans="12:166" x14ac:dyDescent="0.2"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</row>
    <row r="236" spans="12:166" x14ac:dyDescent="0.2"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</row>
    <row r="237" spans="12:166" x14ac:dyDescent="0.2"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</row>
    <row r="238" spans="12:166" x14ac:dyDescent="0.2"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</row>
    <row r="239" spans="12:166" x14ac:dyDescent="0.2"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</row>
    <row r="240" spans="12:166" x14ac:dyDescent="0.2"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</row>
    <row r="241" spans="12:166" x14ac:dyDescent="0.2"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</row>
    <row r="242" spans="12:166" x14ac:dyDescent="0.2"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</row>
    <row r="243" spans="12:166" x14ac:dyDescent="0.2"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</row>
    <row r="244" spans="12:166" x14ac:dyDescent="0.2"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</row>
    <row r="245" spans="12:166" x14ac:dyDescent="0.2"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</row>
    <row r="246" spans="12:166" x14ac:dyDescent="0.2"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</row>
    <row r="247" spans="12:166" x14ac:dyDescent="0.2"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</row>
    <row r="248" spans="12:166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</row>
    <row r="249" spans="12:166" x14ac:dyDescent="0.2"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</row>
    <row r="250" spans="12:166" x14ac:dyDescent="0.2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</row>
    <row r="251" spans="12:166" x14ac:dyDescent="0.2"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</row>
    <row r="252" spans="12:166" x14ac:dyDescent="0.2"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</row>
    <row r="253" spans="12:166" x14ac:dyDescent="0.2"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</row>
    <row r="254" spans="12:166" x14ac:dyDescent="0.2"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</row>
    <row r="255" spans="12:166" x14ac:dyDescent="0.2"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</row>
    <row r="256" spans="12:166" x14ac:dyDescent="0.2"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</row>
    <row r="257" spans="12:166" x14ac:dyDescent="0.2"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</row>
    <row r="258" spans="12:166" x14ac:dyDescent="0.2"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</row>
    <row r="259" spans="12:166" x14ac:dyDescent="0.2"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</row>
    <row r="260" spans="12:166" x14ac:dyDescent="0.2"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</row>
    <row r="261" spans="12:166" x14ac:dyDescent="0.2"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</row>
    <row r="262" spans="12:166" x14ac:dyDescent="0.2"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</row>
    <row r="263" spans="12:166" x14ac:dyDescent="0.2"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</row>
    <row r="264" spans="12:166" x14ac:dyDescent="0.2"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</row>
    <row r="265" spans="12:166" x14ac:dyDescent="0.2"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</row>
    <row r="266" spans="12:166" x14ac:dyDescent="0.2"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</row>
    <row r="267" spans="12:166" x14ac:dyDescent="0.2"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</row>
    <row r="268" spans="12:166" x14ac:dyDescent="0.2"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</row>
    <row r="269" spans="12:166" x14ac:dyDescent="0.2"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</row>
    <row r="270" spans="12:166" x14ac:dyDescent="0.2"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</row>
    <row r="271" spans="12:166" x14ac:dyDescent="0.2"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</row>
    <row r="272" spans="12:166" x14ac:dyDescent="0.2"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</row>
    <row r="273" spans="12:166" x14ac:dyDescent="0.2"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</row>
    <row r="274" spans="12:166" x14ac:dyDescent="0.2"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</row>
    <row r="275" spans="12:166" x14ac:dyDescent="0.2"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</row>
    <row r="276" spans="12:166" x14ac:dyDescent="0.2"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</row>
    <row r="277" spans="12:166" x14ac:dyDescent="0.2"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</row>
    <row r="278" spans="12:166" x14ac:dyDescent="0.2"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</row>
    <row r="279" spans="12:166" x14ac:dyDescent="0.2"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</row>
    <row r="280" spans="12:166" x14ac:dyDescent="0.2"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</row>
    <row r="281" spans="12:166" x14ac:dyDescent="0.2"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</row>
    <row r="282" spans="12:166" x14ac:dyDescent="0.2"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</row>
    <row r="283" spans="12:166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</row>
    <row r="284" spans="12:166" x14ac:dyDescent="0.2"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</row>
    <row r="285" spans="12:166" x14ac:dyDescent="0.2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</row>
    <row r="286" spans="12:166" x14ac:dyDescent="0.2"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</row>
    <row r="287" spans="12:166" x14ac:dyDescent="0.2"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</row>
    <row r="288" spans="12:166" x14ac:dyDescent="0.2"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</row>
    <row r="289" spans="12:166" x14ac:dyDescent="0.2"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</row>
    <row r="290" spans="12:166" x14ac:dyDescent="0.2"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</row>
    <row r="291" spans="12:166" x14ac:dyDescent="0.2"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</row>
    <row r="292" spans="12:166" x14ac:dyDescent="0.2"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</row>
    <row r="293" spans="12:166" x14ac:dyDescent="0.2"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</row>
    <row r="294" spans="12:166" x14ac:dyDescent="0.2"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</row>
    <row r="295" spans="12:166" x14ac:dyDescent="0.2"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</row>
    <row r="296" spans="12:166" x14ac:dyDescent="0.2"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</row>
    <row r="297" spans="12:166" x14ac:dyDescent="0.2"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</row>
    <row r="298" spans="12:166" x14ac:dyDescent="0.2"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</row>
    <row r="299" spans="12:166" x14ac:dyDescent="0.2"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</row>
    <row r="300" spans="12:166" x14ac:dyDescent="0.2"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</row>
    <row r="301" spans="12:166" x14ac:dyDescent="0.2"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</row>
    <row r="302" spans="12:166" x14ac:dyDescent="0.2"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</row>
    <row r="303" spans="12:166" x14ac:dyDescent="0.2"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</row>
    <row r="304" spans="12:166" x14ac:dyDescent="0.2"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</row>
    <row r="305" spans="12:166" x14ac:dyDescent="0.2"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</row>
    <row r="306" spans="12:166" x14ac:dyDescent="0.2"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</row>
    <row r="307" spans="12:166" x14ac:dyDescent="0.2"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</row>
    <row r="308" spans="12:166" x14ac:dyDescent="0.2"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</row>
    <row r="309" spans="12:166" x14ac:dyDescent="0.2"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</row>
    <row r="310" spans="12:166" x14ac:dyDescent="0.2"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</row>
    <row r="311" spans="12:166" x14ac:dyDescent="0.2"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</row>
    <row r="312" spans="12:166" x14ac:dyDescent="0.2"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</row>
    <row r="313" spans="12:166" x14ac:dyDescent="0.2"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</row>
    <row r="314" spans="12:166" x14ac:dyDescent="0.2"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</row>
    <row r="315" spans="12:166" x14ac:dyDescent="0.2"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</row>
    <row r="316" spans="12:166" x14ac:dyDescent="0.2"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</row>
    <row r="317" spans="12:166" x14ac:dyDescent="0.2"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</row>
    <row r="318" spans="12:166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</row>
    <row r="319" spans="12:166" x14ac:dyDescent="0.2"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</row>
    <row r="320" spans="12:166" x14ac:dyDescent="0.2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</row>
    <row r="321" spans="12:166" x14ac:dyDescent="0.2"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</row>
    <row r="322" spans="12:166" x14ac:dyDescent="0.2"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</row>
    <row r="323" spans="12:166" x14ac:dyDescent="0.2"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</row>
    <row r="324" spans="12:166" x14ac:dyDescent="0.2"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</row>
    <row r="325" spans="12:166" x14ac:dyDescent="0.2"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</row>
    <row r="326" spans="12:166" x14ac:dyDescent="0.2"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</row>
    <row r="327" spans="12:166" x14ac:dyDescent="0.2"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</row>
    <row r="328" spans="12:166" x14ac:dyDescent="0.2"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</row>
    <row r="329" spans="12:166" x14ac:dyDescent="0.2"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</row>
    <row r="330" spans="12:166" x14ac:dyDescent="0.2"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</row>
    <row r="331" spans="12:166" x14ac:dyDescent="0.2"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</row>
    <row r="332" spans="12:166" x14ac:dyDescent="0.2"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</row>
    <row r="333" spans="12:166" x14ac:dyDescent="0.2"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</row>
    <row r="334" spans="12:166" x14ac:dyDescent="0.2"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</row>
    <row r="335" spans="12:166" x14ac:dyDescent="0.2"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</row>
    <row r="336" spans="12:166" x14ac:dyDescent="0.2"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</row>
    <row r="337" spans="12:166" x14ac:dyDescent="0.2"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</row>
    <row r="338" spans="12:166" x14ac:dyDescent="0.2"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</row>
    <row r="339" spans="12:166" x14ac:dyDescent="0.2"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</row>
    <row r="340" spans="12:166" x14ac:dyDescent="0.2"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</row>
    <row r="341" spans="12:166" x14ac:dyDescent="0.2"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</row>
    <row r="342" spans="12:166" x14ac:dyDescent="0.2"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</row>
    <row r="343" spans="12:166" x14ac:dyDescent="0.2"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</row>
    <row r="344" spans="12:166" x14ac:dyDescent="0.2"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</row>
    <row r="345" spans="12:166" x14ac:dyDescent="0.2"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</row>
    <row r="346" spans="12:166" x14ac:dyDescent="0.2"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</row>
    <row r="347" spans="12:166" x14ac:dyDescent="0.2"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</row>
    <row r="348" spans="12:166" x14ac:dyDescent="0.2"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</row>
    <row r="349" spans="12:166" x14ac:dyDescent="0.2"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</row>
    <row r="350" spans="12:166" x14ac:dyDescent="0.2"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</row>
    <row r="351" spans="12:166" x14ac:dyDescent="0.2"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</row>
    <row r="352" spans="12:166" x14ac:dyDescent="0.2"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</row>
    <row r="353" spans="12:166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</row>
    <row r="354" spans="12:166" x14ac:dyDescent="0.2"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</row>
    <row r="355" spans="12:166" x14ac:dyDescent="0.2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</row>
    <row r="356" spans="12:166" x14ac:dyDescent="0.2"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</row>
    <row r="357" spans="12:166" x14ac:dyDescent="0.2"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</row>
    <row r="358" spans="12:166" x14ac:dyDescent="0.2"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</row>
    <row r="359" spans="12:166" x14ac:dyDescent="0.2"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</row>
    <row r="360" spans="12:166" x14ac:dyDescent="0.2"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</row>
    <row r="361" spans="12:166" x14ac:dyDescent="0.2"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</row>
    <row r="362" spans="12:166" x14ac:dyDescent="0.2"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</row>
    <row r="363" spans="12:166" x14ac:dyDescent="0.2"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</row>
    <row r="364" spans="12:166" x14ac:dyDescent="0.2"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</row>
    <row r="365" spans="12:166" x14ac:dyDescent="0.2"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</row>
    <row r="366" spans="12:166" x14ac:dyDescent="0.2"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</row>
    <row r="367" spans="12:166" x14ac:dyDescent="0.2"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</row>
    <row r="368" spans="12:166" x14ac:dyDescent="0.2"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</row>
    <row r="369" spans="12:166" x14ac:dyDescent="0.2"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</row>
    <row r="370" spans="12:166" x14ac:dyDescent="0.2"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</row>
    <row r="371" spans="12:166" x14ac:dyDescent="0.2"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</row>
    <row r="372" spans="12:166" x14ac:dyDescent="0.2"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</row>
    <row r="373" spans="12:166" x14ac:dyDescent="0.2"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</row>
    <row r="374" spans="12:166" x14ac:dyDescent="0.2"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</row>
    <row r="375" spans="12:166" x14ac:dyDescent="0.2"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</row>
    <row r="376" spans="12:166" x14ac:dyDescent="0.2"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</row>
    <row r="377" spans="12:166" x14ac:dyDescent="0.2"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</row>
    <row r="378" spans="12:166" x14ac:dyDescent="0.2"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</row>
    <row r="379" spans="12:166" x14ac:dyDescent="0.2"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</row>
    <row r="380" spans="12:166" x14ac:dyDescent="0.2"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</row>
    <row r="381" spans="12:166" x14ac:dyDescent="0.2"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</row>
    <row r="382" spans="12:166" x14ac:dyDescent="0.2"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</row>
    <row r="383" spans="12:166" x14ac:dyDescent="0.2"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</row>
    <row r="384" spans="12:166" x14ac:dyDescent="0.2"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</row>
    <row r="385" spans="12:166" x14ac:dyDescent="0.2"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</row>
    <row r="386" spans="12:166" x14ac:dyDescent="0.2"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</row>
    <row r="387" spans="12:166" x14ac:dyDescent="0.2"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</row>
    <row r="388" spans="12:166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</row>
    <row r="389" spans="12:166" x14ac:dyDescent="0.2"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</row>
    <row r="390" spans="12:166" x14ac:dyDescent="0.2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</row>
    <row r="391" spans="12:166" x14ac:dyDescent="0.2"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</row>
    <row r="392" spans="12:166" x14ac:dyDescent="0.2"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</row>
    <row r="393" spans="12:166" x14ac:dyDescent="0.2"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</row>
    <row r="394" spans="12:166" x14ac:dyDescent="0.2"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</row>
    <row r="395" spans="12:166" x14ac:dyDescent="0.2"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</row>
    <row r="396" spans="12:166" x14ac:dyDescent="0.2"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</row>
    <row r="397" spans="12:166" x14ac:dyDescent="0.2"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</row>
    <row r="398" spans="12:166" x14ac:dyDescent="0.2"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</row>
    <row r="399" spans="12:166" x14ac:dyDescent="0.2"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</row>
    <row r="400" spans="12:166" x14ac:dyDescent="0.2"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</row>
    <row r="401" spans="12:166" x14ac:dyDescent="0.2"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</row>
    <row r="402" spans="12:166" x14ac:dyDescent="0.2"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</row>
    <row r="403" spans="12:166" x14ac:dyDescent="0.2"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</row>
    <row r="404" spans="12:166" x14ac:dyDescent="0.2"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</row>
    <row r="405" spans="12:166" x14ac:dyDescent="0.2"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</row>
    <row r="406" spans="12:166" x14ac:dyDescent="0.2"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</row>
    <row r="407" spans="12:166" x14ac:dyDescent="0.2"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</row>
    <row r="408" spans="12:166" x14ac:dyDescent="0.2"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</row>
    <row r="409" spans="12:166" x14ac:dyDescent="0.2"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</row>
    <row r="410" spans="12:166" x14ac:dyDescent="0.2"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</row>
    <row r="411" spans="12:166" x14ac:dyDescent="0.2"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</row>
    <row r="412" spans="12:166" x14ac:dyDescent="0.2"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</row>
    <row r="413" spans="12:166" x14ac:dyDescent="0.2"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</row>
    <row r="414" spans="12:166" x14ac:dyDescent="0.2"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</row>
    <row r="415" spans="12:166" x14ac:dyDescent="0.2"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</row>
    <row r="416" spans="12:166" x14ac:dyDescent="0.2"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</row>
    <row r="417" spans="12:166" x14ac:dyDescent="0.2"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</row>
    <row r="418" spans="12:166" x14ac:dyDescent="0.2"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</row>
    <row r="419" spans="12:166" x14ac:dyDescent="0.2"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</row>
    <row r="420" spans="12:166" x14ac:dyDescent="0.2"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</row>
    <row r="421" spans="12:166" x14ac:dyDescent="0.2"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</row>
    <row r="422" spans="12:166" x14ac:dyDescent="0.2"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</row>
    <row r="423" spans="12:166" x14ac:dyDescent="0.2"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</row>
    <row r="424" spans="12:166" x14ac:dyDescent="0.2"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</row>
    <row r="425" spans="12:166" x14ac:dyDescent="0.2"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</row>
    <row r="426" spans="12:166" x14ac:dyDescent="0.2"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</row>
    <row r="427" spans="12:166" x14ac:dyDescent="0.2"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</row>
    <row r="428" spans="12:166" x14ac:dyDescent="0.2"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</row>
    <row r="429" spans="12:166" x14ac:dyDescent="0.2"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</row>
    <row r="430" spans="12:166" x14ac:dyDescent="0.2"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</row>
    <row r="431" spans="12:166" x14ac:dyDescent="0.2"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</row>
    <row r="432" spans="12:166" x14ac:dyDescent="0.2"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</row>
    <row r="433" spans="12:166" x14ac:dyDescent="0.2"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</row>
    <row r="434" spans="12:166" x14ac:dyDescent="0.2"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</row>
    <row r="435" spans="12:166" x14ac:dyDescent="0.2"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</row>
    <row r="436" spans="12:166" x14ac:dyDescent="0.2"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</row>
    <row r="437" spans="12:166" x14ac:dyDescent="0.2"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</row>
    <row r="438" spans="12:166" x14ac:dyDescent="0.2"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</row>
    <row r="439" spans="12:166" x14ac:dyDescent="0.2"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</row>
    <row r="440" spans="12:166" x14ac:dyDescent="0.2"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</row>
    <row r="441" spans="12:166" x14ac:dyDescent="0.2"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</row>
    <row r="442" spans="12:166" x14ac:dyDescent="0.2"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</row>
    <row r="443" spans="12:166" x14ac:dyDescent="0.2"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</row>
    <row r="444" spans="12:166" x14ac:dyDescent="0.2"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</row>
    <row r="445" spans="12:166" x14ac:dyDescent="0.2"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</row>
    <row r="446" spans="12:166" x14ac:dyDescent="0.2"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</row>
    <row r="447" spans="12:166" x14ac:dyDescent="0.2"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</row>
    <row r="448" spans="12:166" x14ac:dyDescent="0.2"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</row>
    <row r="449" spans="12:166" x14ac:dyDescent="0.2"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</row>
    <row r="450" spans="12:166" x14ac:dyDescent="0.2"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</row>
    <row r="451" spans="12:166" x14ac:dyDescent="0.2"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</row>
    <row r="452" spans="12:166" x14ac:dyDescent="0.2"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</row>
    <row r="453" spans="12:166" x14ac:dyDescent="0.2"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</row>
    <row r="454" spans="12:166" x14ac:dyDescent="0.2"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</row>
    <row r="455" spans="12:166" x14ac:dyDescent="0.2"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</row>
    <row r="456" spans="12:166" x14ac:dyDescent="0.2"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</row>
    <row r="457" spans="12:166" x14ac:dyDescent="0.2"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</row>
    <row r="458" spans="12:166" x14ac:dyDescent="0.2"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</row>
    <row r="459" spans="12:166" x14ac:dyDescent="0.2"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</row>
    <row r="460" spans="12:166" x14ac:dyDescent="0.2"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</row>
    <row r="461" spans="12:166" x14ac:dyDescent="0.2"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</row>
    <row r="462" spans="12:166" x14ac:dyDescent="0.2"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</row>
    <row r="463" spans="12:166" x14ac:dyDescent="0.2"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</row>
    <row r="464" spans="12:166" x14ac:dyDescent="0.2"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</row>
    <row r="465" spans="12:166" x14ac:dyDescent="0.2"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</row>
    <row r="466" spans="12:166" x14ac:dyDescent="0.2"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</row>
    <row r="467" spans="12:166" x14ac:dyDescent="0.2"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</row>
    <row r="468" spans="12:166" x14ac:dyDescent="0.2"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</row>
    <row r="469" spans="12:166" x14ac:dyDescent="0.2"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</row>
    <row r="470" spans="12:166" x14ac:dyDescent="0.2"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</row>
    <row r="471" spans="12:166" x14ac:dyDescent="0.2"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</row>
    <row r="472" spans="12:166" x14ac:dyDescent="0.2"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</row>
    <row r="473" spans="12:166" x14ac:dyDescent="0.2"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</row>
    <row r="474" spans="12:166" x14ac:dyDescent="0.2"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</row>
    <row r="475" spans="12:166" x14ac:dyDescent="0.2"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</row>
    <row r="476" spans="12:166" x14ac:dyDescent="0.2"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</row>
    <row r="477" spans="12:166" x14ac:dyDescent="0.2"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</row>
    <row r="478" spans="12:166" x14ac:dyDescent="0.2"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</row>
    <row r="479" spans="12:166" x14ac:dyDescent="0.2"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</row>
    <row r="480" spans="12:166" x14ac:dyDescent="0.2"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</row>
    <row r="481" spans="12:166" x14ac:dyDescent="0.2"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</row>
    <row r="482" spans="12:166" x14ac:dyDescent="0.2"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</row>
    <row r="483" spans="12:166" x14ac:dyDescent="0.2"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</row>
    <row r="484" spans="12:166" x14ac:dyDescent="0.2"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</row>
    <row r="485" spans="12:166" x14ac:dyDescent="0.2"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</row>
    <row r="486" spans="12:166" x14ac:dyDescent="0.2"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</row>
    <row r="487" spans="12:166" x14ac:dyDescent="0.2"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</row>
    <row r="488" spans="12:166" x14ac:dyDescent="0.2"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</row>
    <row r="489" spans="12:166" x14ac:dyDescent="0.2"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</row>
    <row r="490" spans="12:166" x14ac:dyDescent="0.2"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</row>
    <row r="491" spans="12:166" x14ac:dyDescent="0.2"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</row>
    <row r="492" spans="12:166" x14ac:dyDescent="0.2"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</row>
    <row r="493" spans="12:166" x14ac:dyDescent="0.2"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</row>
    <row r="494" spans="12:166" x14ac:dyDescent="0.2"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</row>
    <row r="495" spans="12:166" x14ac:dyDescent="0.2"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</row>
    <row r="496" spans="12:166" x14ac:dyDescent="0.2"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</row>
    <row r="497" spans="12:166" x14ac:dyDescent="0.2"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</row>
    <row r="498" spans="12:166" x14ac:dyDescent="0.2"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</row>
    <row r="499" spans="12:166" x14ac:dyDescent="0.2"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</row>
    <row r="500" spans="12:166" x14ac:dyDescent="0.2"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</row>
    <row r="501" spans="12:166" x14ac:dyDescent="0.2">
      <c r="L501"/>
      <c r="M501"/>
    </row>
    <row r="502" spans="12:166" x14ac:dyDescent="0.2">
      <c r="L502"/>
      <c r="M502"/>
    </row>
    <row r="503" spans="12:166" x14ac:dyDescent="0.2">
      <c r="L503"/>
      <c r="M503"/>
    </row>
  </sheetData>
  <conditionalFormatting sqref="E25:E26 E28:E29">
    <cfRule type="expression" dxfId="12" priority="2">
      <formula>OR($E$21="Grid", $E$21="Perimeter")</formula>
    </cfRule>
  </conditionalFormatting>
  <conditionalFormatting sqref="E31:E32">
    <cfRule type="expression" dxfId="11" priority="1">
      <formula>$E$21="Circular"</formula>
    </cfRule>
  </conditionalFormatting>
  <conditionalFormatting sqref="G28 H30:I30 I22:M22">
    <cfRule type="expression" dxfId="10" priority="32">
      <formula>AND($L$19="Bolted", $L$20="Plate")</formula>
    </cfRule>
  </conditionalFormatting>
  <conditionalFormatting sqref="G26 H28:I28 I20:M20">
    <cfRule type="expression" dxfId="9" priority="35">
      <formula>$L$19="Bolted"</formula>
    </cfRule>
  </conditionalFormatting>
  <conditionalFormatting sqref="G41:G43 H41:I45 B25:F29">
    <cfRule type="expression" dxfId="8" priority="37">
      <formula>OR($E$21="Grid", $E$21="Perimeter")</formula>
    </cfRule>
  </conditionalFormatting>
  <conditionalFormatting sqref="G34:G35 H47:I48 B31:F32">
    <cfRule type="expression" dxfId="7" priority="41">
      <formula>$E$21="Circular"</formula>
    </cfRule>
  </conditionalFormatting>
  <pageMargins left="0.23622047244094491" right="0.23622047244094491" top="0.23622047244094491" bottom="0.23622047244094491" header="0" footer="0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PythonScript">
                <anchor moveWithCells="1" sizeWithCells="1">
                  <from>
                    <xdr:col>23</xdr:col>
                    <xdr:colOff>514350</xdr:colOff>
                    <xdr:row>21</xdr:row>
                    <xdr:rowOff>38100</xdr:rowOff>
                  </from>
                  <to>
                    <xdr:col>25</xdr:col>
                    <xdr:colOff>590550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3BC5A982-4302-4F30-A979-903F4BD6B9E4}">
          <x14:formula1>
            <xm:f>'Input Data'!$B$19:$B$22</xm:f>
          </x14:formula1>
          <xm:sqref>E18</xm:sqref>
        </x14:dataValidation>
        <x14:dataValidation type="list" allowBlank="1" showInputMessage="1" showErrorMessage="1" xr:uid="{5F93B395-28EA-4138-8769-EB241A0B6C68}">
          <x14:formula1>
            <xm:f>'Input Data'!$R$3:$R$8</xm:f>
          </x14:formula1>
          <xm:sqref>L7</xm:sqref>
        </x14:dataValidation>
        <x14:dataValidation type="list" allowBlank="1" showInputMessage="1" showErrorMessage="1" xr:uid="{0C2521D9-C84D-45B3-9115-D430DAF7B402}">
          <x14:formula1>
            <xm:f>'Input Data'!$P$3:$P$5</xm:f>
          </x14:formula1>
          <xm:sqref>E21</xm:sqref>
        </x14:dataValidation>
        <x14:dataValidation type="list" allowBlank="1" showInputMessage="1" showErrorMessage="1" xr:uid="{E1AA2BFF-E15E-472B-9C58-87E676B4E674}">
          <x14:formula1>
            <xm:f>'Input Data'!$N$3:$N$4</xm:f>
          </x14:formula1>
          <xm:sqref>L20</xm:sqref>
        </x14:dataValidation>
        <x14:dataValidation type="list" allowBlank="1" showInputMessage="1" showErrorMessage="1" xr:uid="{972AC8AA-1DA3-4B37-A43F-E992F2C6199F}">
          <x14:formula1>
            <xm:f>'Input Data'!$L$3:$L$4</xm:f>
          </x14:formula1>
          <xm:sqref>L19</xm:sqref>
        </x14:dataValidation>
        <x14:dataValidation type="list" allowBlank="1" showInputMessage="1" showErrorMessage="1" xr:uid="{36FE7944-C000-4781-B00A-17FB2DC6EA99}">
          <x14:formula1>
            <xm:f>'Input Data'!$J$3:$J$16</xm:f>
          </x14:formula1>
          <xm:sqref>L18</xm:sqref>
        </x14:dataValidation>
        <x14:dataValidation type="list" allowBlank="1" showInputMessage="1" showErrorMessage="1" xr:uid="{74BF5504-EBE0-46EA-BC4D-DBE14E304032}">
          <x14:formula1>
            <xm:f>'Input Data'!$D$3:$D$9</xm:f>
          </x14:formula1>
          <xm:sqref>L17</xm:sqref>
        </x14:dataValidation>
        <x14:dataValidation type="list" allowBlank="1" showInputMessage="1" showErrorMessage="1" xr:uid="{03B2DB49-6653-49D7-838B-E785988693D6}">
          <x14:formula1>
            <xm:f>'Input Data'!$H$3:$H$5</xm:f>
          </x14:formula1>
          <xm:sqref>L9</xm:sqref>
        </x14:dataValidation>
        <x14:dataValidation type="list" allowBlank="1" showInputMessage="1" showErrorMessage="1" xr:uid="{FB40E862-7048-483A-A81D-4D299CB626C0}">
          <x14:formula1>
            <xm:f>'Input Data'!$B$3:$B$12</xm:f>
          </x14:formula1>
          <xm:sqref>L8</xm:sqref>
        </x14:dataValidation>
        <x14:dataValidation type="list" allowBlank="1" showInputMessage="1" showErrorMessage="1" xr:uid="{B0ECD136-20C3-41A5-9847-71EC60EFBABD}">
          <x14:formula1>
            <xm:f>'Input Data'!$F$3:$F$7</xm:f>
          </x14:formula1>
          <xm:sqref>E14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1BF2E-88C4-4F3D-8B30-A6380C6B7B50}">
  <sheetPr codeName="Sheet1"/>
  <dimension ref="A1:FZ500"/>
  <sheetViews>
    <sheetView workbookViewId="0"/>
  </sheetViews>
  <sheetFormatPr defaultColWidth="9.140625" defaultRowHeight="12.75" x14ac:dyDescent="0.2"/>
  <cols>
    <col min="1" max="12" width="3.7109375" style="22" customWidth="1"/>
    <col min="13" max="13" width="5.5703125" style="22" customWidth="1"/>
    <col min="14" max="30" width="3.7109375" style="22" customWidth="1"/>
    <col min="31" max="31" width="26.28515625" style="22" bestFit="1" customWidth="1"/>
    <col min="32" max="32" width="13.85546875" style="22" bestFit="1" customWidth="1"/>
    <col min="33" max="33" width="5" style="22" customWidth="1"/>
    <col min="34" max="36" width="9.140625" style="22"/>
    <col min="37" max="37" width="12" style="22" bestFit="1" customWidth="1"/>
    <col min="38" max="56" width="9.140625" style="22"/>
    <col min="57" max="57" width="5.140625" style="22" customWidth="1"/>
    <col min="58" max="59" width="9.140625" style="22"/>
    <col min="60" max="60" width="12.7109375" style="22" bestFit="1" customWidth="1"/>
    <col min="61" max="61" width="9.140625" style="22"/>
    <col min="62" max="62" width="12" style="22" bestFit="1" customWidth="1"/>
    <col min="63" max="63" width="4.5703125" style="22" customWidth="1"/>
    <col min="64" max="65" width="9.140625" style="22"/>
    <col min="66" max="66" width="12.85546875" style="22" bestFit="1" customWidth="1"/>
    <col min="67" max="67" width="9.140625" style="22"/>
    <col min="68" max="68" width="10.85546875" style="22" customWidth="1"/>
    <col min="69" max="69" width="4.7109375" style="22" customWidth="1"/>
    <col min="70" max="16384" width="9.140625" style="22"/>
  </cols>
  <sheetData>
    <row r="1" spans="1:182" ht="20.100000000000001" customHeight="1" x14ac:dyDescent="0.2">
      <c r="A1" s="18" t="s">
        <v>156</v>
      </c>
      <c r="B1" s="19"/>
      <c r="C1" s="19" t="s">
        <v>157</v>
      </c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8" t="s">
        <v>158</v>
      </c>
      <c r="U1" s="19"/>
      <c r="V1" s="19"/>
      <c r="W1" s="19"/>
      <c r="X1" s="19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</row>
    <row r="2" spans="1:182" ht="20.100000000000001" customHeight="1" x14ac:dyDescent="0.2">
      <c r="A2" s="18" t="s">
        <v>159</v>
      </c>
      <c r="B2" s="19"/>
      <c r="C2" s="19" t="s">
        <v>160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8" t="s">
        <v>161</v>
      </c>
      <c r="U2" s="19"/>
      <c r="V2" s="19"/>
      <c r="W2" s="19"/>
      <c r="X2" s="19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</row>
    <row r="3" spans="1:182" ht="20.100000000000001" customHeight="1" x14ac:dyDescent="0.2">
      <c r="A3" s="18" t="s">
        <v>162</v>
      </c>
      <c r="B3" s="19"/>
      <c r="C3" s="19" t="s">
        <v>163</v>
      </c>
      <c r="D3" s="19"/>
      <c r="E3" s="19"/>
      <c r="F3" s="19"/>
      <c r="G3" s="19"/>
      <c r="H3" s="19"/>
      <c r="I3" s="19"/>
      <c r="J3" s="19"/>
      <c r="K3" s="19"/>
      <c r="L3" s="18" t="s">
        <v>164</v>
      </c>
      <c r="M3" s="19"/>
      <c r="N3" s="19"/>
      <c r="O3" s="19"/>
      <c r="P3" s="19"/>
      <c r="Q3" s="19"/>
      <c r="R3" s="19"/>
      <c r="S3" s="19"/>
      <c r="T3" s="18" t="s">
        <v>165</v>
      </c>
      <c r="U3" s="19"/>
      <c r="V3" s="19"/>
      <c r="W3" s="19"/>
      <c r="X3" s="19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</row>
    <row r="4" spans="1:182" ht="20.100000000000001" customHeight="1" x14ac:dyDescent="0.2">
      <c r="A4" s="17" t="s">
        <v>155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 t="s">
        <v>120</v>
      </c>
      <c r="AF4" t="s">
        <v>1</v>
      </c>
      <c r="AG4" t="s">
        <v>121</v>
      </c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</row>
    <row r="5" spans="1:182" x14ac:dyDescent="0.2">
      <c r="A5"/>
      <c r="B5" s="7" t="s">
        <v>4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 s="7" t="s">
        <v>166</v>
      </c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</row>
    <row r="6" spans="1:182" x14ac:dyDescent="0.2">
      <c r="A6"/>
      <c r="B6"/>
      <c r="C6" s="20" t="s">
        <v>0</v>
      </c>
      <c r="D6"/>
      <c r="E6"/>
      <c r="F6"/>
      <c r="G6"/>
      <c r="H6"/>
      <c r="I6"/>
      <c r="J6" s="20" t="s">
        <v>6</v>
      </c>
      <c r="K6"/>
      <c r="L6" t="s">
        <v>1</v>
      </c>
      <c r="M6" s="9">
        <v>520</v>
      </c>
      <c r="N6" s="23"/>
      <c r="O6" t="s">
        <v>2</v>
      </c>
      <c r="P6"/>
      <c r="Q6"/>
      <c r="R6"/>
      <c r="S6"/>
      <c r="T6"/>
      <c r="U6" t="s">
        <v>143</v>
      </c>
      <c r="V6"/>
      <c r="W6"/>
      <c r="X6"/>
      <c r="Y6" s="9" t="s">
        <v>170</v>
      </c>
      <c r="Z6"/>
      <c r="AA6"/>
      <c r="AB6"/>
      <c r="AC6"/>
      <c r="AD6"/>
      <c r="AE6" t="s">
        <v>122</v>
      </c>
      <c r="AF6" t="s">
        <v>1</v>
      </c>
      <c r="AG6" t="s">
        <v>123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</row>
    <row r="7" spans="1:182" x14ac:dyDescent="0.2">
      <c r="A7"/>
      <c r="B7"/>
      <c r="C7" s="20" t="s">
        <v>3</v>
      </c>
      <c r="D7"/>
      <c r="E7"/>
      <c r="F7"/>
      <c r="G7"/>
      <c r="H7"/>
      <c r="I7"/>
      <c r="J7" s="20" t="s">
        <v>7</v>
      </c>
      <c r="K7"/>
      <c r="L7" t="s">
        <v>1</v>
      </c>
      <c r="M7" s="9">
        <v>280</v>
      </c>
      <c r="N7" s="23"/>
      <c r="O7" t="s">
        <v>2</v>
      </c>
      <c r="P7"/>
      <c r="Q7"/>
      <c r="R7"/>
      <c r="S7"/>
      <c r="T7"/>
      <c r="U7" t="s">
        <v>144</v>
      </c>
      <c r="V7"/>
      <c r="W7"/>
      <c r="X7"/>
      <c r="Y7" s="9" t="s">
        <v>101</v>
      </c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</row>
    <row r="8" spans="1:182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 t="s">
        <v>124</v>
      </c>
      <c r="AF8" t="s">
        <v>1</v>
      </c>
      <c r="AG8">
        <v>0.8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</row>
    <row r="9" spans="1:182" x14ac:dyDescent="0.2">
      <c r="A9"/>
      <c r="B9" s="7" t="s">
        <v>5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</row>
    <row r="10" spans="1:182" x14ac:dyDescent="0.2">
      <c r="A10"/>
      <c r="B10"/>
      <c r="C10" s="20" t="s">
        <v>8</v>
      </c>
      <c r="D10"/>
      <c r="E10"/>
      <c r="F10"/>
      <c r="G10"/>
      <c r="H10"/>
      <c r="I10"/>
      <c r="J10" s="20" t="s">
        <v>9</v>
      </c>
      <c r="K10"/>
      <c r="L10" s="10" t="s">
        <v>1</v>
      </c>
      <c r="M10" s="9">
        <v>30</v>
      </c>
      <c r="N10" s="23"/>
      <c r="O10" t="s">
        <v>10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 t="s">
        <v>125</v>
      </c>
      <c r="AF10" t="s">
        <v>1</v>
      </c>
      <c r="AG10">
        <v>0.8</v>
      </c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</row>
    <row r="11" spans="1:182" x14ac:dyDescent="0.2">
      <c r="A11"/>
      <c r="B11"/>
      <c r="C11" s="20" t="s">
        <v>12</v>
      </c>
      <c r="D11"/>
      <c r="E11"/>
      <c r="F11"/>
      <c r="G11"/>
      <c r="H11" s="7"/>
      <c r="I11"/>
      <c r="J11" s="20" t="s">
        <v>11</v>
      </c>
      <c r="K11"/>
      <c r="L11" t="s">
        <v>1</v>
      </c>
      <c r="M11" s="9">
        <v>20</v>
      </c>
      <c r="N11" s="23"/>
      <c r="O11" t="s">
        <v>10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</row>
    <row r="12" spans="1:182" x14ac:dyDescent="0.2">
      <c r="A12"/>
      <c r="B12"/>
      <c r="C12" s="20" t="s">
        <v>13</v>
      </c>
      <c r="D12"/>
      <c r="E12"/>
      <c r="F12"/>
      <c r="G12"/>
      <c r="H12"/>
      <c r="I12"/>
      <c r="J12" s="20" t="s">
        <v>14</v>
      </c>
      <c r="K12"/>
      <c r="L12" t="s">
        <v>1</v>
      </c>
      <c r="M12" s="9">
        <v>-10</v>
      </c>
      <c r="N12" s="23"/>
      <c r="O12" t="s">
        <v>15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 t="s">
        <v>126</v>
      </c>
      <c r="AF12" t="s">
        <v>1</v>
      </c>
      <c r="AG12">
        <v>0.8</v>
      </c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</row>
    <row r="13" spans="1:182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</row>
    <row r="14" spans="1:182" x14ac:dyDescent="0.2">
      <c r="A14"/>
      <c r="B14" s="7" t="s">
        <v>16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 t="s">
        <v>167</v>
      </c>
      <c r="AF14" t="s">
        <v>1</v>
      </c>
      <c r="AG14">
        <v>245</v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</row>
    <row r="15" spans="1:182" x14ac:dyDescent="0.2">
      <c r="A15"/>
      <c r="B15" s="7"/>
      <c r="C15" s="20" t="s">
        <v>113</v>
      </c>
      <c r="D15"/>
      <c r="E15"/>
      <c r="F15"/>
      <c r="G15"/>
      <c r="H15"/>
      <c r="I15"/>
      <c r="J15"/>
      <c r="K15"/>
      <c r="L15" s="10" t="s">
        <v>1</v>
      </c>
      <c r="M15" s="9">
        <v>0</v>
      </c>
      <c r="N15" s="23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</row>
    <row r="16" spans="1:182" x14ac:dyDescent="0.2">
      <c r="A16"/>
      <c r="B16"/>
      <c r="C16" s="20" t="s">
        <v>17</v>
      </c>
      <c r="D16"/>
      <c r="E16"/>
      <c r="F16"/>
      <c r="G16"/>
      <c r="H16"/>
      <c r="I16"/>
      <c r="J16"/>
      <c r="K16"/>
      <c r="L16" s="10" t="s">
        <v>1</v>
      </c>
      <c r="M16" s="9" t="s">
        <v>18</v>
      </c>
      <c r="N16" s="23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 t="s">
        <v>130</v>
      </c>
      <c r="AF16" t="s">
        <v>1</v>
      </c>
      <c r="AG16">
        <v>1.6500000000000001</v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</row>
    <row r="17" spans="1:182" x14ac:dyDescent="0.2">
      <c r="A17"/>
      <c r="B17"/>
      <c r="C17" s="20" t="s">
        <v>19</v>
      </c>
      <c r="D17"/>
      <c r="E17"/>
      <c r="F17"/>
      <c r="G17"/>
      <c r="H17"/>
      <c r="I17"/>
      <c r="J17"/>
      <c r="K17"/>
      <c r="L17" t="s">
        <v>1</v>
      </c>
      <c r="M17" s="9">
        <v>2</v>
      </c>
      <c r="N17" s="23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</row>
    <row r="18" spans="1:182" x14ac:dyDescent="0.2">
      <c r="A18"/>
      <c r="B18"/>
      <c r="C18" s="20" t="s">
        <v>20</v>
      </c>
      <c r="D18"/>
      <c r="E18"/>
      <c r="F18"/>
      <c r="G18"/>
      <c r="H18"/>
      <c r="I18"/>
      <c r="J18"/>
      <c r="K18"/>
      <c r="L18" s="10" t="s">
        <v>1</v>
      </c>
      <c r="M18" s="9" t="s">
        <v>40</v>
      </c>
      <c r="N18" s="23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 t="s">
        <v>131</v>
      </c>
      <c r="AF18" t="s">
        <v>1</v>
      </c>
      <c r="AG18">
        <v>400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</row>
    <row r="19" spans="1:182" x14ac:dyDescent="0.2">
      <c r="A19"/>
      <c r="B19"/>
      <c r="C19" s="20" t="s">
        <v>21</v>
      </c>
      <c r="D19"/>
      <c r="E19"/>
      <c r="F19"/>
      <c r="G19"/>
      <c r="H19"/>
      <c r="I19"/>
      <c r="J19" s="20" t="s">
        <v>22</v>
      </c>
      <c r="K19"/>
      <c r="L19" s="10" t="s">
        <v>1</v>
      </c>
      <c r="M19" s="9">
        <v>1.25</v>
      </c>
      <c r="N19" s="23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</row>
    <row r="20" spans="1:182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 s="23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 t="s">
        <v>132</v>
      </c>
      <c r="AF20" t="s">
        <v>1</v>
      </c>
      <c r="AG20">
        <v>240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</row>
    <row r="21" spans="1:182" x14ac:dyDescent="0.2">
      <c r="A21"/>
      <c r="B21" s="7" t="s">
        <v>23</v>
      </c>
      <c r="C21"/>
      <c r="D21"/>
      <c r="E21"/>
      <c r="F21"/>
      <c r="G21"/>
      <c r="H21"/>
      <c r="I21"/>
      <c r="J21"/>
      <c r="K21"/>
      <c r="L21"/>
      <c r="M21"/>
      <c r="N21" s="23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</row>
    <row r="22" spans="1:182" x14ac:dyDescent="0.2">
      <c r="A22"/>
      <c r="B22"/>
      <c r="C22" s="20" t="s">
        <v>24</v>
      </c>
      <c r="D22" s="20"/>
      <c r="E22"/>
      <c r="F22"/>
      <c r="G22"/>
      <c r="H22"/>
      <c r="I22"/>
      <c r="J22"/>
      <c r="K22"/>
      <c r="L22" s="10" t="s">
        <v>1</v>
      </c>
      <c r="M22" s="9">
        <v>8.8000000000000007</v>
      </c>
      <c r="N22" s="23"/>
      <c r="O22"/>
      <c r="P22"/>
      <c r="Q22"/>
      <c r="R22"/>
      <c r="S22"/>
      <c r="T22" s="7"/>
      <c r="U22"/>
      <c r="V22"/>
      <c r="W22"/>
      <c r="X22"/>
      <c r="Y22"/>
      <c r="Z22"/>
      <c r="AA22"/>
      <c r="AB22"/>
      <c r="AC22"/>
      <c r="AD22"/>
      <c r="AE22" t="s">
        <v>149</v>
      </c>
      <c r="AF22" t="s">
        <v>1</v>
      </c>
      <c r="AG22">
        <v>130</v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</row>
    <row r="23" spans="1:182" x14ac:dyDescent="0.2">
      <c r="A23"/>
      <c r="B23"/>
      <c r="C23" s="20" t="s">
        <v>41</v>
      </c>
      <c r="D23" s="20"/>
      <c r="E23"/>
      <c r="F23"/>
      <c r="G23"/>
      <c r="H23"/>
      <c r="I23"/>
      <c r="J23" t="s">
        <v>56</v>
      </c>
      <c r="K23"/>
      <c r="L23" s="10" t="s">
        <v>1</v>
      </c>
      <c r="M23" s="9">
        <v>20</v>
      </c>
      <c r="N23" s="23"/>
      <c r="O23" t="s">
        <v>2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</row>
    <row r="24" spans="1:182" x14ac:dyDescent="0.2">
      <c r="A24"/>
      <c r="B24"/>
      <c r="C24" s="20" t="s">
        <v>43</v>
      </c>
      <c r="D24" s="20"/>
      <c r="E24"/>
      <c r="F24"/>
      <c r="G24"/>
      <c r="H24"/>
      <c r="I24"/>
      <c r="J24"/>
      <c r="K24"/>
      <c r="L24" s="10" t="s">
        <v>1</v>
      </c>
      <c r="M24" s="9" t="s">
        <v>44</v>
      </c>
      <c r="N24" s="23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 t="s">
        <v>151</v>
      </c>
      <c r="AF24" t="s">
        <v>1</v>
      </c>
      <c r="AG24" t="s">
        <v>171</v>
      </c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</row>
    <row r="25" spans="1:182" x14ac:dyDescent="0.2">
      <c r="A25"/>
      <c r="B25"/>
      <c r="C25" s="21" t="s">
        <v>46</v>
      </c>
      <c r="D25" s="21"/>
      <c r="E25" s="11"/>
      <c r="F25" s="11"/>
      <c r="G25" s="11"/>
      <c r="H25" s="11"/>
      <c r="I25" s="11"/>
      <c r="J25" s="11"/>
      <c r="K25" s="11"/>
      <c r="L25" s="11" t="s">
        <v>1</v>
      </c>
      <c r="M25" s="11" t="s">
        <v>48</v>
      </c>
      <c r="N25" s="24"/>
      <c r="O25" s="12"/>
      <c r="P25" s="12"/>
      <c r="Q25" s="12"/>
      <c r="R25" s="12"/>
      <c r="S25" s="12"/>
      <c r="T25" s="7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</row>
    <row r="26" spans="1:182" x14ac:dyDescent="0.2">
      <c r="A26"/>
      <c r="B26"/>
      <c r="C26" s="21" t="s">
        <v>49</v>
      </c>
      <c r="D26" s="21"/>
      <c r="E26" s="11"/>
      <c r="F26" s="11"/>
      <c r="G26" s="11"/>
      <c r="H26" s="11"/>
      <c r="I26" s="11"/>
      <c r="J26" s="11" t="s">
        <v>57</v>
      </c>
      <c r="K26" s="11"/>
      <c r="L26" s="11" t="s">
        <v>1</v>
      </c>
      <c r="M26" s="11">
        <v>30</v>
      </c>
      <c r="N26" s="24"/>
      <c r="O26" s="11" t="s">
        <v>2</v>
      </c>
      <c r="P26" s="11"/>
      <c r="Q26" s="11"/>
      <c r="R26" s="11"/>
      <c r="S26" s="11"/>
      <c r="T26"/>
      <c r="U26"/>
      <c r="V26"/>
      <c r="W26"/>
      <c r="X26"/>
      <c r="Y26"/>
      <c r="Z26"/>
      <c r="AA26"/>
      <c r="AB26"/>
      <c r="AC26"/>
      <c r="AD26"/>
      <c r="AE26" t="s">
        <v>152</v>
      </c>
      <c r="AF26" t="s">
        <v>1</v>
      </c>
      <c r="AG26" t="s">
        <v>172</v>
      </c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</row>
    <row r="27" spans="1:182" x14ac:dyDescent="0.2">
      <c r="A27"/>
      <c r="B27"/>
      <c r="C27" s="21" t="s">
        <v>50</v>
      </c>
      <c r="D27" s="21"/>
      <c r="E27" s="11"/>
      <c r="F27" s="11"/>
      <c r="G27" s="11"/>
      <c r="H27" s="11"/>
      <c r="I27" s="11"/>
      <c r="J27" s="11" t="s">
        <v>58</v>
      </c>
      <c r="K27" s="11"/>
      <c r="L27" s="11" t="s">
        <v>1</v>
      </c>
      <c r="M27" s="11">
        <v>12</v>
      </c>
      <c r="N27" s="24"/>
      <c r="O27" s="11" t="s">
        <v>2</v>
      </c>
      <c r="P27" s="11"/>
      <c r="Q27" s="11"/>
      <c r="R27" s="11"/>
      <c r="S27" s="11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</row>
    <row r="28" spans="1:18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23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 t="s">
        <v>153</v>
      </c>
      <c r="AF28" t="s">
        <v>1</v>
      </c>
      <c r="AG28" t="s">
        <v>173</v>
      </c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</row>
    <row r="29" spans="1:182" x14ac:dyDescent="0.2">
      <c r="A29"/>
      <c r="B29" s="7" t="s">
        <v>51</v>
      </c>
      <c r="C29"/>
      <c r="D29"/>
      <c r="E29"/>
      <c r="F29"/>
      <c r="G29"/>
      <c r="H29"/>
      <c r="I29"/>
      <c r="J29"/>
      <c r="K29"/>
      <c r="L29"/>
      <c r="M29"/>
      <c r="N29" s="23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</row>
    <row r="30" spans="1:182" x14ac:dyDescent="0.2">
      <c r="A30"/>
      <c r="B30"/>
      <c r="C30" t="s">
        <v>53</v>
      </c>
      <c r="D30"/>
      <c r="E30"/>
      <c r="F30"/>
      <c r="G30"/>
      <c r="H30"/>
      <c r="I30"/>
      <c r="J30" t="s">
        <v>52</v>
      </c>
      <c r="K30"/>
      <c r="L30" s="10" t="s">
        <v>1</v>
      </c>
      <c r="M30" s="9">
        <v>2</v>
      </c>
      <c r="N30" s="23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 t="s">
        <v>154</v>
      </c>
      <c r="AF30" t="s">
        <v>1</v>
      </c>
      <c r="AG30" t="s">
        <v>174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</row>
    <row r="31" spans="1:182" x14ac:dyDescent="0.2">
      <c r="A31"/>
      <c r="B31"/>
      <c r="C31" t="s">
        <v>54</v>
      </c>
      <c r="D31"/>
      <c r="E31"/>
      <c r="F31"/>
      <c r="G31"/>
      <c r="H31"/>
      <c r="I31"/>
      <c r="J31" t="s">
        <v>55</v>
      </c>
      <c r="K31"/>
      <c r="L31" s="10" t="s">
        <v>1</v>
      </c>
      <c r="M31" s="9">
        <v>12</v>
      </c>
      <c r="N31" s="23"/>
      <c r="O31" t="s">
        <v>2</v>
      </c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</row>
    <row r="32" spans="1:182" x14ac:dyDescent="0.2">
      <c r="A32"/>
      <c r="B32"/>
      <c r="C32" t="s">
        <v>115</v>
      </c>
      <c r="D32"/>
      <c r="E32"/>
      <c r="F32"/>
      <c r="G32"/>
      <c r="H32"/>
      <c r="I32"/>
      <c r="J32"/>
      <c r="K32"/>
      <c r="L32" s="10" t="s">
        <v>1</v>
      </c>
      <c r="M32" s="9">
        <v>25</v>
      </c>
      <c r="N32" s="23"/>
      <c r="O32" t="s">
        <v>2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</row>
    <row r="33" spans="1:182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2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</row>
    <row r="34" spans="1:182" x14ac:dyDescent="0.2">
      <c r="A34"/>
      <c r="B34"/>
      <c r="C34" t="s">
        <v>61</v>
      </c>
      <c r="D34"/>
      <c r="E34"/>
      <c r="F34"/>
      <c r="G34"/>
      <c r="H34"/>
      <c r="I34"/>
      <c r="J34"/>
      <c r="K34"/>
      <c r="L34" s="10" t="s">
        <v>1</v>
      </c>
      <c r="M34" s="9" t="s">
        <v>63</v>
      </c>
      <c r="N34" s="23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 t="s">
        <v>127</v>
      </c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</row>
    <row r="35" spans="1:182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23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 t="s">
        <v>72</v>
      </c>
      <c r="AF35" t="s">
        <v>75</v>
      </c>
      <c r="AG35"/>
      <c r="AH35"/>
      <c r="AI35" t="s">
        <v>78</v>
      </c>
      <c r="AJ35"/>
      <c r="AK35"/>
      <c r="AL35"/>
      <c r="AM35"/>
      <c r="AN35"/>
      <c r="AO35"/>
      <c r="AP35"/>
      <c r="AQ35" t="s">
        <v>87</v>
      </c>
      <c r="AR35"/>
      <c r="AS35"/>
      <c r="AT35"/>
      <c r="AU35"/>
      <c r="AV35"/>
      <c r="AW35"/>
      <c r="AX35"/>
      <c r="AY35"/>
      <c r="AZ35"/>
      <c r="BA35"/>
      <c r="BB35"/>
      <c r="BC35" t="s">
        <v>92</v>
      </c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</row>
    <row r="36" spans="1:182" x14ac:dyDescent="0.2">
      <c r="A36"/>
      <c r="B36"/>
      <c r="C36" s="13" t="s">
        <v>59</v>
      </c>
      <c r="D36" s="13"/>
      <c r="E36" s="13"/>
      <c r="F36" s="13"/>
      <c r="G36" s="13"/>
      <c r="H36" s="13"/>
      <c r="I36" s="13"/>
      <c r="J36" s="13" t="s">
        <v>60</v>
      </c>
      <c r="K36" s="13"/>
      <c r="L36" s="14" t="s">
        <v>1</v>
      </c>
      <c r="M36" s="15">
        <v>125</v>
      </c>
      <c r="N36" s="25"/>
      <c r="O36" s="13" t="s">
        <v>2</v>
      </c>
      <c r="P36" s="13"/>
      <c r="Q36" s="13"/>
      <c r="R36" s="13"/>
      <c r="S36" s="13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 t="s">
        <v>77</v>
      </c>
      <c r="AJ36"/>
      <c r="AK36"/>
      <c r="AL36" t="s">
        <v>77</v>
      </c>
      <c r="AM36"/>
      <c r="AN36"/>
      <c r="AO36" t="s">
        <v>84</v>
      </c>
      <c r="AP36" t="s">
        <v>81</v>
      </c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</row>
    <row r="37" spans="1:182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23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73</v>
      </c>
      <c r="AG37" t="s">
        <v>74</v>
      </c>
      <c r="AH37" t="s">
        <v>76</v>
      </c>
      <c r="AI37" t="s">
        <v>133</v>
      </c>
      <c r="AJ37" t="s">
        <v>134</v>
      </c>
      <c r="AK37" t="s">
        <v>79</v>
      </c>
      <c r="AL37" t="s">
        <v>135</v>
      </c>
      <c r="AM37" t="s">
        <v>136</v>
      </c>
      <c r="AN37" t="s">
        <v>80</v>
      </c>
      <c r="AO37" t="s">
        <v>83</v>
      </c>
      <c r="AP37" t="s">
        <v>82</v>
      </c>
      <c r="AQ37" t="s">
        <v>67</v>
      </c>
      <c r="AR37"/>
      <c r="AS37" t="s">
        <v>68</v>
      </c>
      <c r="AT37"/>
      <c r="AU37" t="s">
        <v>88</v>
      </c>
      <c r="AV37"/>
      <c r="AW37" t="s">
        <v>89</v>
      </c>
      <c r="AX37"/>
      <c r="AY37" t="s">
        <v>90</v>
      </c>
      <c r="AZ37"/>
      <c r="BA37" t="s">
        <v>91</v>
      </c>
      <c r="BB37"/>
      <c r="BC37" t="s">
        <v>93</v>
      </c>
      <c r="BD37" t="s">
        <v>94</v>
      </c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</row>
    <row r="38" spans="1:182" x14ac:dyDescent="0.2">
      <c r="A38"/>
      <c r="B38"/>
      <c r="C38" s="11" t="s">
        <v>104</v>
      </c>
      <c r="D38" s="11"/>
      <c r="E38" s="11"/>
      <c r="F38" s="11"/>
      <c r="G38" s="11"/>
      <c r="H38" s="11"/>
      <c r="I38" s="11"/>
      <c r="J38" s="11" t="s">
        <v>64</v>
      </c>
      <c r="K38" s="11"/>
      <c r="L38" s="16" t="s">
        <v>1</v>
      </c>
      <c r="M38" s="11">
        <v>2</v>
      </c>
      <c r="N38" s="24"/>
      <c r="O38" s="23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t="s">
        <v>137</v>
      </c>
      <c r="AR38" t="s">
        <v>138</v>
      </c>
      <c r="AS38" t="s">
        <v>137</v>
      </c>
      <c r="AT38" t="s">
        <v>138</v>
      </c>
      <c r="AU38" t="s">
        <v>137</v>
      </c>
      <c r="AV38" t="s">
        <v>138</v>
      </c>
      <c r="AW38" t="s">
        <v>137</v>
      </c>
      <c r="AX38" t="s">
        <v>138</v>
      </c>
      <c r="AY38" t="s">
        <v>137</v>
      </c>
      <c r="AZ38" t="s">
        <v>138</v>
      </c>
      <c r="BA38" t="s">
        <v>137</v>
      </c>
      <c r="BB38" t="s">
        <v>138</v>
      </c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</row>
    <row r="39" spans="1:182" x14ac:dyDescent="0.2">
      <c r="A39"/>
      <c r="B39"/>
      <c r="C39" s="11" t="s">
        <v>105</v>
      </c>
      <c r="D39" s="11"/>
      <c r="E39" s="11"/>
      <c r="F39" s="11"/>
      <c r="G39" s="11"/>
      <c r="H39" s="11"/>
      <c r="I39" s="11"/>
      <c r="J39" s="11" t="s">
        <v>65</v>
      </c>
      <c r="K39" s="11"/>
      <c r="L39" s="16" t="s">
        <v>1</v>
      </c>
      <c r="M39" s="11">
        <v>2</v>
      </c>
      <c r="N39" s="24"/>
      <c r="O39" s="23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 t="s">
        <v>2</v>
      </c>
      <c r="AG39" t="s">
        <v>2</v>
      </c>
      <c r="AH39" t="s">
        <v>139</v>
      </c>
      <c r="AI39" t="s">
        <v>10</v>
      </c>
      <c r="AJ39" t="s">
        <v>10</v>
      </c>
      <c r="AK39" t="s">
        <v>10</v>
      </c>
      <c r="AL39" t="s">
        <v>10</v>
      </c>
      <c r="AM39" t="s">
        <v>10</v>
      </c>
      <c r="AN39" t="s">
        <v>10</v>
      </c>
      <c r="AO39" t="s">
        <v>140</v>
      </c>
      <c r="AP39" t="s">
        <v>10</v>
      </c>
      <c r="AQ39" t="s">
        <v>2</v>
      </c>
      <c r="AR39"/>
      <c r="AS39" t="s">
        <v>2</v>
      </c>
      <c r="AT39"/>
      <c r="AU39" t="s">
        <v>2</v>
      </c>
      <c r="AV39"/>
      <c r="AW39" t="s">
        <v>2</v>
      </c>
      <c r="AX39"/>
      <c r="AY39" t="s">
        <v>2</v>
      </c>
      <c r="AZ39"/>
      <c r="BA39" t="s">
        <v>2</v>
      </c>
      <c r="BB39"/>
      <c r="BC39" t="s">
        <v>10</v>
      </c>
      <c r="BD39" t="s">
        <v>10</v>
      </c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</row>
    <row r="40" spans="1:182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23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</v>
      </c>
      <c r="AF40">
        <v>-50</v>
      </c>
      <c r="AG40">
        <v>-50</v>
      </c>
      <c r="AH40">
        <v>70.7</v>
      </c>
      <c r="AI40">
        <v>-3.75</v>
      </c>
      <c r="AJ40">
        <v>15.44</v>
      </c>
      <c r="AK40">
        <v>11.69</v>
      </c>
      <c r="AL40">
        <v>2.5</v>
      </c>
      <c r="AM40">
        <v>15.44</v>
      </c>
      <c r="AN40">
        <v>17.940000000000001</v>
      </c>
      <c r="AO40">
        <v>57</v>
      </c>
      <c r="AP40">
        <v>21.41</v>
      </c>
      <c r="AQ40">
        <v>97</v>
      </c>
      <c r="AR40">
        <v>100</v>
      </c>
      <c r="AS40">
        <v>80</v>
      </c>
      <c r="AT40">
        <v>100</v>
      </c>
      <c r="AU40" t="s">
        <v>117</v>
      </c>
      <c r="AV40" t="s">
        <v>117</v>
      </c>
      <c r="AW40">
        <v>87</v>
      </c>
      <c r="AX40">
        <v>225</v>
      </c>
      <c r="AY40">
        <v>62</v>
      </c>
      <c r="AZ40">
        <v>310</v>
      </c>
      <c r="BA40">
        <v>60</v>
      </c>
      <c r="BB40">
        <v>570</v>
      </c>
      <c r="BC40">
        <v>24.7</v>
      </c>
      <c r="BD40">
        <v>15.8</v>
      </c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</row>
    <row r="41" spans="1:182" x14ac:dyDescent="0.2">
      <c r="A41"/>
      <c r="B41"/>
      <c r="C41" s="11" t="s">
        <v>66</v>
      </c>
      <c r="D41" s="11"/>
      <c r="E41" s="11"/>
      <c r="F41" s="11"/>
      <c r="G41" s="11"/>
      <c r="H41" s="11"/>
      <c r="I41" s="11"/>
      <c r="J41" s="11" t="s">
        <v>67</v>
      </c>
      <c r="K41" s="11"/>
      <c r="L41" s="16" t="s">
        <v>1</v>
      </c>
      <c r="M41" s="11">
        <v>100</v>
      </c>
      <c r="N41" s="24"/>
      <c r="O41" s="11" t="s">
        <v>2</v>
      </c>
      <c r="P41" s="11"/>
      <c r="Q41" s="11"/>
      <c r="R41" s="11"/>
      <c r="S41" s="11"/>
      <c r="T41"/>
      <c r="U41"/>
      <c r="V41"/>
      <c r="W41"/>
      <c r="X41"/>
      <c r="Y41"/>
      <c r="Z41"/>
      <c r="AA41"/>
      <c r="AB41"/>
      <c r="AC41"/>
      <c r="AD41"/>
      <c r="AE41">
        <v>2</v>
      </c>
      <c r="AF41">
        <v>-50</v>
      </c>
      <c r="AG41">
        <v>50</v>
      </c>
      <c r="AH41">
        <v>70.7</v>
      </c>
      <c r="AI41">
        <v>-3.75</v>
      </c>
      <c r="AJ41">
        <v>15.44</v>
      </c>
      <c r="AK41">
        <v>11.69</v>
      </c>
      <c r="AL41">
        <v>2.5</v>
      </c>
      <c r="AM41">
        <v>-15.44</v>
      </c>
      <c r="AN41">
        <v>-12.94</v>
      </c>
      <c r="AO41">
        <v>-48</v>
      </c>
      <c r="AP41">
        <v>17.43</v>
      </c>
      <c r="AQ41">
        <v>97</v>
      </c>
      <c r="AR41">
        <v>100</v>
      </c>
      <c r="AS41">
        <v>80</v>
      </c>
      <c r="AT41">
        <v>100</v>
      </c>
      <c r="AU41" t="s">
        <v>117</v>
      </c>
      <c r="AV41" t="s">
        <v>117</v>
      </c>
      <c r="AW41">
        <v>87</v>
      </c>
      <c r="AX41">
        <v>125</v>
      </c>
      <c r="AY41">
        <v>62</v>
      </c>
      <c r="AZ41">
        <v>570</v>
      </c>
      <c r="BA41">
        <v>60</v>
      </c>
      <c r="BB41">
        <v>310</v>
      </c>
      <c r="BC41">
        <v>25.6</v>
      </c>
      <c r="BD41">
        <v>16.399999999999999</v>
      </c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</row>
    <row r="42" spans="1:182" x14ac:dyDescent="0.2">
      <c r="A42"/>
      <c r="B42"/>
      <c r="C42" s="11" t="s">
        <v>106</v>
      </c>
      <c r="D42" s="11"/>
      <c r="E42" s="11"/>
      <c r="F42" s="11"/>
      <c r="G42" s="11"/>
      <c r="H42" s="11"/>
      <c r="I42" s="11"/>
      <c r="J42" s="11" t="s">
        <v>68</v>
      </c>
      <c r="K42" s="11"/>
      <c r="L42" s="16" t="s">
        <v>1</v>
      </c>
      <c r="M42" s="11">
        <v>100</v>
      </c>
      <c r="N42" s="24"/>
      <c r="O42" s="11" t="s">
        <v>2</v>
      </c>
      <c r="P42" s="11"/>
      <c r="Q42" s="11"/>
      <c r="R42" s="11"/>
      <c r="S42" s="11"/>
      <c r="T42"/>
      <c r="U42"/>
      <c r="V42"/>
      <c r="W42"/>
      <c r="X42"/>
      <c r="Y42"/>
      <c r="Z42"/>
      <c r="AA42"/>
      <c r="AB42"/>
      <c r="AC42"/>
      <c r="AD42"/>
      <c r="AE42">
        <v>3</v>
      </c>
      <c r="AF42">
        <v>50</v>
      </c>
      <c r="AG42">
        <v>-50</v>
      </c>
      <c r="AH42">
        <v>70.7</v>
      </c>
      <c r="AI42">
        <v>-3.75</v>
      </c>
      <c r="AJ42">
        <v>-15.44</v>
      </c>
      <c r="AK42">
        <v>-19.190000000000001</v>
      </c>
      <c r="AL42">
        <v>2.5</v>
      </c>
      <c r="AM42">
        <v>15.44</v>
      </c>
      <c r="AN42">
        <v>17.940000000000001</v>
      </c>
      <c r="AO42">
        <v>-43</v>
      </c>
      <c r="AP42">
        <v>26.27</v>
      </c>
      <c r="AQ42">
        <v>97</v>
      </c>
      <c r="AR42">
        <v>100</v>
      </c>
      <c r="AS42">
        <v>80</v>
      </c>
      <c r="AT42">
        <v>100</v>
      </c>
      <c r="AU42">
        <v>0</v>
      </c>
      <c r="AV42">
        <v>225</v>
      </c>
      <c r="AW42" t="s">
        <v>117</v>
      </c>
      <c r="AX42" t="s">
        <v>117</v>
      </c>
      <c r="AY42">
        <v>62</v>
      </c>
      <c r="AZ42">
        <v>210</v>
      </c>
      <c r="BA42">
        <v>60</v>
      </c>
      <c r="BB42">
        <v>470</v>
      </c>
      <c r="BC42">
        <v>26.2</v>
      </c>
      <c r="BD42">
        <v>16.7</v>
      </c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</row>
    <row r="43" spans="1:182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4</v>
      </c>
      <c r="AF43">
        <v>50</v>
      </c>
      <c r="AG43">
        <v>50</v>
      </c>
      <c r="AH43">
        <v>70.7</v>
      </c>
      <c r="AI43">
        <v>-3.75</v>
      </c>
      <c r="AJ43">
        <v>-15.44</v>
      </c>
      <c r="AK43">
        <v>-19.190000000000001</v>
      </c>
      <c r="AL43">
        <v>2.5</v>
      </c>
      <c r="AM43">
        <v>-15.44</v>
      </c>
      <c r="AN43">
        <v>-12.94</v>
      </c>
      <c r="AO43">
        <v>34</v>
      </c>
      <c r="AP43">
        <v>23.14</v>
      </c>
      <c r="AQ43">
        <v>97</v>
      </c>
      <c r="AR43">
        <v>100</v>
      </c>
      <c r="AS43">
        <v>80</v>
      </c>
      <c r="AT43">
        <v>100</v>
      </c>
      <c r="AU43">
        <v>0</v>
      </c>
      <c r="AV43">
        <v>125</v>
      </c>
      <c r="AW43" t="s">
        <v>117</v>
      </c>
      <c r="AX43" t="s">
        <v>117</v>
      </c>
      <c r="AY43">
        <v>62</v>
      </c>
      <c r="AZ43">
        <v>470</v>
      </c>
      <c r="BA43">
        <v>60</v>
      </c>
      <c r="BB43">
        <v>210</v>
      </c>
      <c r="BC43">
        <v>27.2</v>
      </c>
      <c r="BD43">
        <v>17.399999999999999</v>
      </c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</row>
    <row r="44" spans="1:182" x14ac:dyDescent="0.2">
      <c r="A44"/>
      <c r="B44"/>
      <c r="C44" s="11" t="s">
        <v>69</v>
      </c>
      <c r="D44" s="11"/>
      <c r="E44" s="11"/>
      <c r="F44" s="11"/>
      <c r="G44" s="11"/>
      <c r="H44" s="11"/>
      <c r="I44" s="11"/>
      <c r="J44" s="11" t="s">
        <v>71</v>
      </c>
      <c r="K44" s="11"/>
      <c r="L44" s="16" t="s">
        <v>1</v>
      </c>
      <c r="M44" s="11">
        <v>150</v>
      </c>
      <c r="N44" s="11"/>
      <c r="O44" s="11" t="s">
        <v>2</v>
      </c>
      <c r="P44" s="11"/>
      <c r="Q44" s="11"/>
      <c r="R44" s="11"/>
      <c r="S44" s="11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</row>
    <row r="45" spans="1:182" x14ac:dyDescent="0.2">
      <c r="A45"/>
      <c r="B45"/>
      <c r="C45" s="11" t="s">
        <v>70</v>
      </c>
      <c r="D45" s="11"/>
      <c r="E45" s="11"/>
      <c r="F45" s="11"/>
      <c r="G45" s="11"/>
      <c r="H45" s="11"/>
      <c r="I45" s="11"/>
      <c r="J45" s="11"/>
      <c r="K45" s="11"/>
      <c r="L45" s="16" t="s">
        <v>1</v>
      </c>
      <c r="M45" s="11">
        <v>6</v>
      </c>
      <c r="N45" s="11"/>
      <c r="O45" s="11"/>
      <c r="P45" s="11"/>
      <c r="Q45" s="11"/>
      <c r="R45" s="11"/>
      <c r="S45" s="11"/>
      <c r="T45"/>
      <c r="U45"/>
      <c r="V45"/>
      <c r="W45"/>
      <c r="X45"/>
      <c r="Y45"/>
      <c r="Z45"/>
      <c r="AA45" t="s">
        <v>118</v>
      </c>
      <c r="AB45">
        <v>20000</v>
      </c>
      <c r="AC45" t="s">
        <v>119</v>
      </c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</row>
    <row r="46" spans="1:182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</row>
    <row r="47" spans="1:182" x14ac:dyDescent="0.2">
      <c r="A47"/>
      <c r="B47" s="7" t="s">
        <v>107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 t="s">
        <v>128</v>
      </c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</row>
    <row r="48" spans="1:182" x14ac:dyDescent="0.2">
      <c r="A48"/>
      <c r="B48"/>
      <c r="C48" t="s">
        <v>108</v>
      </c>
      <c r="D48"/>
      <c r="E48"/>
      <c r="F48"/>
      <c r="G48"/>
      <c r="H48"/>
      <c r="I48"/>
      <c r="J48"/>
      <c r="K48"/>
      <c r="L48"/>
      <c r="M48" s="9" t="s">
        <v>110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 t="s">
        <v>146</v>
      </c>
      <c r="AF48" t="s">
        <v>100</v>
      </c>
      <c r="AG48" t="s">
        <v>86</v>
      </c>
      <c r="AH48" t="s">
        <v>85</v>
      </c>
      <c r="AI48" t="s">
        <v>96</v>
      </c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</row>
    <row r="49" spans="1:182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 t="s">
        <v>74</v>
      </c>
      <c r="AH49"/>
      <c r="AI49" t="s">
        <v>95</v>
      </c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</row>
    <row r="50" spans="1:182" x14ac:dyDescent="0.2">
      <c r="A50"/>
      <c r="B50" s="7" t="s">
        <v>111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 t="s">
        <v>2</v>
      </c>
      <c r="AH50" t="s">
        <v>10</v>
      </c>
      <c r="AI50" t="s">
        <v>10</v>
      </c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</row>
    <row r="51" spans="1:182" x14ac:dyDescent="0.2">
      <c r="A51"/>
      <c r="B51"/>
      <c r="C51" t="s">
        <v>112</v>
      </c>
      <c r="D51"/>
      <c r="E51"/>
      <c r="F51"/>
      <c r="G51"/>
      <c r="H51"/>
      <c r="I51"/>
      <c r="J51"/>
      <c r="K51"/>
      <c r="L51"/>
      <c r="M51" s="9">
        <v>50</v>
      </c>
      <c r="N51"/>
      <c r="O51" t="s">
        <v>2</v>
      </c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1</v>
      </c>
      <c r="AF51">
        <v>2</v>
      </c>
      <c r="AG51">
        <v>-50</v>
      </c>
      <c r="AH51">
        <v>35.880000000000003</v>
      </c>
      <c r="AI51">
        <v>32.270000000000003</v>
      </c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</row>
    <row r="52" spans="1:182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</v>
      </c>
      <c r="AF52">
        <v>2</v>
      </c>
      <c r="AG52">
        <v>50</v>
      </c>
      <c r="AH52">
        <v>-25.88</v>
      </c>
      <c r="AI52">
        <v>32.270000000000003</v>
      </c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</row>
    <row r="53" spans="1:182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</row>
    <row r="54" spans="1:182" x14ac:dyDescent="0.2">
      <c r="A54"/>
      <c r="B54"/>
      <c r="C54" t="s">
        <v>116</v>
      </c>
      <c r="D54"/>
      <c r="E54"/>
      <c r="F54"/>
      <c r="G54"/>
      <c r="H54"/>
      <c r="I54"/>
      <c r="J54"/>
      <c r="K54"/>
      <c r="L54"/>
      <c r="M54" s="9" t="s">
        <v>169</v>
      </c>
      <c r="N54"/>
      <c r="O54" t="s">
        <v>179</v>
      </c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</row>
    <row r="55" spans="1:182" x14ac:dyDescent="0.2">
      <c r="A55"/>
      <c r="B55"/>
      <c r="C55" t="s">
        <v>141</v>
      </c>
      <c r="D55"/>
      <c r="E55"/>
      <c r="F55"/>
      <c r="G55"/>
      <c r="H55"/>
      <c r="I55"/>
      <c r="J55"/>
      <c r="K55"/>
      <c r="L55"/>
      <c r="M55" s="9" t="s">
        <v>169</v>
      </c>
      <c r="N55"/>
      <c r="O55" t="s">
        <v>179</v>
      </c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 t="s">
        <v>129</v>
      </c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</row>
    <row r="56" spans="1:182" x14ac:dyDescent="0.2">
      <c r="A56"/>
      <c r="B56"/>
      <c r="C56" t="s">
        <v>142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 t="s">
        <v>147</v>
      </c>
      <c r="AF56" t="s">
        <v>100</v>
      </c>
      <c r="AG56" t="s">
        <v>86</v>
      </c>
      <c r="AH56" t="s">
        <v>148</v>
      </c>
      <c r="AI56" t="s">
        <v>97</v>
      </c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</row>
    <row r="57" spans="1:182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 t="s">
        <v>73</v>
      </c>
      <c r="AH57"/>
      <c r="AI57" t="s">
        <v>98</v>
      </c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</row>
    <row r="58" spans="1:182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 t="s">
        <v>2</v>
      </c>
      <c r="AH58" t="s">
        <v>10</v>
      </c>
      <c r="AI58" t="s">
        <v>10</v>
      </c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</row>
    <row r="59" spans="1:182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1</v>
      </c>
      <c r="AF59">
        <v>2</v>
      </c>
      <c r="AG59">
        <v>-50</v>
      </c>
      <c r="AH59">
        <v>23.38</v>
      </c>
      <c r="AI59">
        <v>23.25</v>
      </c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</row>
    <row r="60" spans="1:182" x14ac:dyDescent="0.2">
      <c r="A60"/>
      <c r="B60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>
        <v>2</v>
      </c>
      <c r="AF60">
        <v>2</v>
      </c>
      <c r="AG60">
        <v>50</v>
      </c>
      <c r="AH60">
        <v>-38.380000000000003</v>
      </c>
      <c r="AI60">
        <v>23.25</v>
      </c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</row>
    <row r="61" spans="1:182" x14ac:dyDescent="0.2">
      <c r="A61"/>
      <c r="B61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</row>
    <row r="62" spans="1:182" x14ac:dyDescent="0.2">
      <c r="A62"/>
      <c r="B62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</row>
    <row r="63" spans="1:182" x14ac:dyDescent="0.2">
      <c r="A63"/>
      <c r="B6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</row>
    <row r="64" spans="1:182" x14ac:dyDescent="0.2">
      <c r="A64"/>
      <c r="B64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</row>
    <row r="65" spans="1:182" x14ac:dyDescent="0.2">
      <c r="A65"/>
      <c r="B65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</row>
    <row r="66" spans="1:182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</row>
    <row r="67" spans="1:182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</row>
    <row r="68" spans="1:182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</row>
    <row r="69" spans="1:182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</row>
    <row r="70" spans="1:182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</row>
    <row r="71" spans="1:182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</row>
    <row r="72" spans="1:182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</row>
    <row r="73" spans="1:182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</row>
    <row r="74" spans="1:182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</row>
    <row r="75" spans="1:182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</row>
    <row r="76" spans="1:182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</row>
    <row r="77" spans="1:182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</row>
    <row r="78" spans="1:18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</row>
    <row r="79" spans="1:18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</row>
    <row r="80" spans="1:18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</row>
    <row r="81" spans="1:18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</row>
    <row r="82" spans="1:18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</row>
    <row r="83" spans="1:18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</row>
    <row r="84" spans="1:18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</row>
    <row r="85" spans="1:18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</row>
    <row r="86" spans="1:18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</row>
    <row r="87" spans="1:18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</row>
    <row r="88" spans="1:18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</row>
    <row r="89" spans="1:18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</row>
    <row r="90" spans="1:18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</row>
    <row r="91" spans="1:18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</row>
    <row r="92" spans="1:18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</row>
    <row r="93" spans="1:18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</row>
    <row r="94" spans="1:18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</row>
    <row r="95" spans="1:18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</row>
    <row r="96" spans="1:18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</row>
    <row r="97" spans="1:18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</row>
    <row r="98" spans="1:18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</row>
    <row r="99" spans="1:18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</row>
    <row r="100" spans="1:18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</row>
    <row r="101" spans="1:18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</row>
    <row r="102" spans="1:18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</row>
    <row r="103" spans="1:18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</row>
    <row r="104" spans="1:18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</row>
    <row r="105" spans="1:18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</row>
    <row r="106" spans="1:18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</row>
    <row r="107" spans="1:18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</row>
    <row r="108" spans="1:18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</row>
    <row r="109" spans="1:18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</row>
    <row r="110" spans="1:18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</row>
    <row r="111" spans="1:18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</row>
    <row r="112" spans="1:18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</row>
    <row r="113" spans="1:18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</row>
    <row r="114" spans="1:18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</row>
    <row r="115" spans="1:18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</row>
    <row r="116" spans="1:18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</row>
    <row r="117" spans="1:18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</row>
    <row r="118" spans="1:18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</row>
    <row r="119" spans="1:18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</row>
    <row r="120" spans="1:18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</row>
    <row r="121" spans="1:182" x14ac:dyDescent="0.2"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</row>
    <row r="122" spans="1:182" x14ac:dyDescent="0.2"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</row>
    <row r="123" spans="1:182" x14ac:dyDescent="0.2"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</row>
    <row r="124" spans="1:182" x14ac:dyDescent="0.2"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</row>
    <row r="125" spans="1:182" x14ac:dyDescent="0.2"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</row>
    <row r="126" spans="1:182" x14ac:dyDescent="0.2"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</row>
    <row r="127" spans="1:182" x14ac:dyDescent="0.2"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</row>
    <row r="128" spans="1:182" x14ac:dyDescent="0.2"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</row>
    <row r="129" spans="27:182" x14ac:dyDescent="0.2"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</row>
    <row r="130" spans="27:182" x14ac:dyDescent="0.2"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</row>
    <row r="131" spans="27:182" x14ac:dyDescent="0.2"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</row>
    <row r="132" spans="27:182" x14ac:dyDescent="0.2"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</row>
    <row r="133" spans="27:182" x14ac:dyDescent="0.2"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</row>
    <row r="134" spans="27:182" x14ac:dyDescent="0.2"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</row>
    <row r="135" spans="27:182" x14ac:dyDescent="0.2"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</row>
    <row r="136" spans="27:182" x14ac:dyDescent="0.2"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</row>
    <row r="137" spans="27:182" x14ac:dyDescent="0.2"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</row>
    <row r="138" spans="27:182" x14ac:dyDescent="0.2"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</row>
    <row r="139" spans="27:182" x14ac:dyDescent="0.2"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</row>
    <row r="140" spans="27:182" x14ac:dyDescent="0.2"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</row>
    <row r="141" spans="27:182" x14ac:dyDescent="0.2"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</row>
    <row r="142" spans="27:182" x14ac:dyDescent="0.2"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</row>
    <row r="143" spans="27:182" x14ac:dyDescent="0.2"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</row>
    <row r="144" spans="27:182" x14ac:dyDescent="0.2"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</row>
    <row r="145" spans="27:182" x14ac:dyDescent="0.2"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</row>
    <row r="146" spans="27:182" x14ac:dyDescent="0.2"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</row>
    <row r="147" spans="27:182" x14ac:dyDescent="0.2"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</row>
    <row r="148" spans="27:182" x14ac:dyDescent="0.2"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</row>
    <row r="149" spans="27:182" x14ac:dyDescent="0.2"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</row>
    <row r="150" spans="27:182" x14ac:dyDescent="0.2"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</row>
    <row r="151" spans="27:182" x14ac:dyDescent="0.2"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</row>
    <row r="152" spans="27:182" x14ac:dyDescent="0.2"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</row>
    <row r="153" spans="27:182" x14ac:dyDescent="0.2"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</row>
    <row r="154" spans="27:182" x14ac:dyDescent="0.2"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</row>
    <row r="155" spans="27:182" x14ac:dyDescent="0.2"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</row>
    <row r="156" spans="27:182" x14ac:dyDescent="0.2"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</row>
    <row r="157" spans="27:182" x14ac:dyDescent="0.2"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</row>
    <row r="158" spans="27:182" x14ac:dyDescent="0.2"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</row>
    <row r="159" spans="27:182" x14ac:dyDescent="0.2"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</row>
    <row r="160" spans="27:182" x14ac:dyDescent="0.2"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</row>
    <row r="161" spans="27:182" x14ac:dyDescent="0.2"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</row>
    <row r="162" spans="27:182" x14ac:dyDescent="0.2"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</row>
    <row r="163" spans="27:182" x14ac:dyDescent="0.2"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</row>
    <row r="164" spans="27:182" x14ac:dyDescent="0.2"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</row>
    <row r="165" spans="27:182" x14ac:dyDescent="0.2"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</row>
    <row r="166" spans="27:182" x14ac:dyDescent="0.2"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</row>
    <row r="167" spans="27:182" x14ac:dyDescent="0.2"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</row>
    <row r="168" spans="27:182" x14ac:dyDescent="0.2"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</row>
    <row r="169" spans="27:182" x14ac:dyDescent="0.2"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</row>
    <row r="170" spans="27:182" x14ac:dyDescent="0.2"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</row>
    <row r="171" spans="27:182" x14ac:dyDescent="0.2"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</row>
    <row r="172" spans="27:182" x14ac:dyDescent="0.2"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</row>
    <row r="173" spans="27:182" x14ac:dyDescent="0.2"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</row>
    <row r="174" spans="27:182" x14ac:dyDescent="0.2"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</row>
    <row r="175" spans="27:182" x14ac:dyDescent="0.2"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</row>
    <row r="176" spans="27:182" x14ac:dyDescent="0.2"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</row>
    <row r="177" spans="27:182" x14ac:dyDescent="0.2"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</row>
    <row r="178" spans="27:182" x14ac:dyDescent="0.2"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</row>
    <row r="179" spans="27:182" x14ac:dyDescent="0.2"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</row>
    <row r="180" spans="27:182" x14ac:dyDescent="0.2"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</row>
    <row r="181" spans="27:182" x14ac:dyDescent="0.2"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</row>
    <row r="182" spans="27:182" x14ac:dyDescent="0.2"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</row>
    <row r="183" spans="27:182" x14ac:dyDescent="0.2"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</row>
    <row r="184" spans="27:182" x14ac:dyDescent="0.2"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</row>
    <row r="185" spans="27:182" x14ac:dyDescent="0.2"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</row>
    <row r="186" spans="27:182" x14ac:dyDescent="0.2"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</row>
    <row r="187" spans="27:182" x14ac:dyDescent="0.2"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</row>
    <row r="188" spans="27:182" x14ac:dyDescent="0.2"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</row>
    <row r="189" spans="27:182" x14ac:dyDescent="0.2"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</row>
    <row r="190" spans="27:182" x14ac:dyDescent="0.2"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</row>
    <row r="191" spans="27:182" x14ac:dyDescent="0.2"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</row>
    <row r="192" spans="27:182" x14ac:dyDescent="0.2"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</row>
    <row r="193" spans="27:182" x14ac:dyDescent="0.2"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</row>
    <row r="194" spans="27:182" x14ac:dyDescent="0.2"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</row>
    <row r="195" spans="27:182" x14ac:dyDescent="0.2"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</row>
    <row r="196" spans="27:182" x14ac:dyDescent="0.2"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</row>
    <row r="197" spans="27:182" x14ac:dyDescent="0.2"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</row>
    <row r="198" spans="27:182" x14ac:dyDescent="0.2"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</row>
    <row r="199" spans="27:182" x14ac:dyDescent="0.2"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</row>
    <row r="200" spans="27:182" x14ac:dyDescent="0.2"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</row>
    <row r="201" spans="27:182" x14ac:dyDescent="0.2"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</row>
    <row r="202" spans="27:182" x14ac:dyDescent="0.2"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</row>
    <row r="203" spans="27:182" x14ac:dyDescent="0.2"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</row>
    <row r="204" spans="27:182" x14ac:dyDescent="0.2"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</row>
    <row r="205" spans="27:182" x14ac:dyDescent="0.2"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</row>
    <row r="206" spans="27:182" x14ac:dyDescent="0.2"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</row>
    <row r="207" spans="27:182" x14ac:dyDescent="0.2"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</row>
    <row r="208" spans="27:182" x14ac:dyDescent="0.2"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</row>
    <row r="209" spans="27:182" x14ac:dyDescent="0.2"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</row>
    <row r="210" spans="27:182" x14ac:dyDescent="0.2"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</row>
    <row r="211" spans="27:182" x14ac:dyDescent="0.2"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</row>
    <row r="212" spans="27:182" x14ac:dyDescent="0.2"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</row>
    <row r="213" spans="27:182" x14ac:dyDescent="0.2"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</row>
    <row r="214" spans="27:182" x14ac:dyDescent="0.2"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</row>
    <row r="215" spans="27:182" x14ac:dyDescent="0.2"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</row>
    <row r="216" spans="27:182" x14ac:dyDescent="0.2"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</row>
    <row r="217" spans="27:182" x14ac:dyDescent="0.2"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</row>
    <row r="218" spans="27:182" x14ac:dyDescent="0.2"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</row>
    <row r="219" spans="27:182" x14ac:dyDescent="0.2"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</row>
    <row r="220" spans="27:182" x14ac:dyDescent="0.2"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</row>
    <row r="221" spans="27:182" x14ac:dyDescent="0.2"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</row>
    <row r="222" spans="27:182" x14ac:dyDescent="0.2"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</row>
    <row r="223" spans="27:182" x14ac:dyDescent="0.2"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</row>
    <row r="224" spans="27:182" x14ac:dyDescent="0.2"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</row>
    <row r="225" spans="27:182" x14ac:dyDescent="0.2"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</row>
    <row r="226" spans="27:182" x14ac:dyDescent="0.2"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</row>
    <row r="227" spans="27:182" x14ac:dyDescent="0.2"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</row>
    <row r="228" spans="27:182" x14ac:dyDescent="0.2"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</row>
    <row r="229" spans="27:182" x14ac:dyDescent="0.2"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</row>
    <row r="230" spans="27:182" x14ac:dyDescent="0.2"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</row>
    <row r="231" spans="27:182" x14ac:dyDescent="0.2"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</row>
    <row r="232" spans="27:182" x14ac:dyDescent="0.2"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</row>
    <row r="233" spans="27:182" x14ac:dyDescent="0.2"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</row>
    <row r="234" spans="27:182" x14ac:dyDescent="0.2"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</row>
    <row r="235" spans="27:182" x14ac:dyDescent="0.2"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</row>
    <row r="236" spans="27:182" x14ac:dyDescent="0.2"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</row>
    <row r="237" spans="27:182" x14ac:dyDescent="0.2"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</row>
    <row r="238" spans="27:182" x14ac:dyDescent="0.2"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</row>
    <row r="239" spans="27:182" x14ac:dyDescent="0.2"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</row>
    <row r="240" spans="27:182" x14ac:dyDescent="0.2"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</row>
    <row r="241" spans="27:182" x14ac:dyDescent="0.2"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</row>
    <row r="242" spans="27:182" x14ac:dyDescent="0.2"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</row>
    <row r="243" spans="27:182" x14ac:dyDescent="0.2"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</row>
    <row r="244" spans="27:182" x14ac:dyDescent="0.2"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</row>
    <row r="245" spans="27:182" x14ac:dyDescent="0.2"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</row>
    <row r="246" spans="27:182" x14ac:dyDescent="0.2"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</row>
    <row r="247" spans="27:182" x14ac:dyDescent="0.2"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</row>
    <row r="248" spans="27:182" x14ac:dyDescent="0.2"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</row>
    <row r="249" spans="27:182" x14ac:dyDescent="0.2"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</row>
    <row r="250" spans="27:182" x14ac:dyDescent="0.2"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</row>
    <row r="251" spans="27:182" x14ac:dyDescent="0.2"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</row>
    <row r="252" spans="27:182" x14ac:dyDescent="0.2"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</row>
    <row r="253" spans="27:182" x14ac:dyDescent="0.2"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</row>
    <row r="254" spans="27:182" x14ac:dyDescent="0.2"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</row>
    <row r="255" spans="27:182" x14ac:dyDescent="0.2"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</row>
    <row r="256" spans="27:182" x14ac:dyDescent="0.2"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</row>
    <row r="257" spans="27:182" x14ac:dyDescent="0.2"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</row>
    <row r="258" spans="27:182" x14ac:dyDescent="0.2"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</row>
    <row r="259" spans="27:182" x14ac:dyDescent="0.2"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</row>
    <row r="260" spans="27:182" x14ac:dyDescent="0.2"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</row>
    <row r="261" spans="27:182" x14ac:dyDescent="0.2"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</row>
    <row r="262" spans="27:182" x14ac:dyDescent="0.2"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</row>
    <row r="263" spans="27:182" x14ac:dyDescent="0.2"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</row>
    <row r="264" spans="27:182" x14ac:dyDescent="0.2"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</row>
    <row r="265" spans="27:182" x14ac:dyDescent="0.2"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</row>
    <row r="266" spans="27:182" x14ac:dyDescent="0.2"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</row>
    <row r="267" spans="27:182" x14ac:dyDescent="0.2"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</row>
    <row r="268" spans="27:182" x14ac:dyDescent="0.2"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</row>
    <row r="269" spans="27:182" x14ac:dyDescent="0.2"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</row>
    <row r="270" spans="27:182" x14ac:dyDescent="0.2"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</row>
    <row r="271" spans="27:182" x14ac:dyDescent="0.2"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</row>
    <row r="272" spans="27:182" x14ac:dyDescent="0.2"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</row>
    <row r="273" spans="27:182" x14ac:dyDescent="0.2"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</row>
    <row r="274" spans="27:182" x14ac:dyDescent="0.2"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</row>
    <row r="275" spans="27:182" x14ac:dyDescent="0.2"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</row>
    <row r="276" spans="27:182" x14ac:dyDescent="0.2"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</row>
    <row r="277" spans="27:182" x14ac:dyDescent="0.2"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</row>
    <row r="278" spans="27:182" x14ac:dyDescent="0.2"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</row>
    <row r="279" spans="27:182" x14ac:dyDescent="0.2"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</row>
    <row r="280" spans="27:182" x14ac:dyDescent="0.2"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</row>
    <row r="281" spans="27:182" x14ac:dyDescent="0.2"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</row>
    <row r="282" spans="27:182" x14ac:dyDescent="0.2"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</row>
    <row r="283" spans="27:182" x14ac:dyDescent="0.2"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</row>
    <row r="284" spans="27:182" x14ac:dyDescent="0.2"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</row>
    <row r="285" spans="27:182" x14ac:dyDescent="0.2"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</row>
    <row r="286" spans="27:182" x14ac:dyDescent="0.2"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</row>
    <row r="287" spans="27:182" x14ac:dyDescent="0.2"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</row>
    <row r="288" spans="27:182" x14ac:dyDescent="0.2"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</row>
    <row r="289" spans="27:182" x14ac:dyDescent="0.2"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</row>
    <row r="290" spans="27:182" x14ac:dyDescent="0.2"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</row>
    <row r="291" spans="27:182" x14ac:dyDescent="0.2"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</row>
    <row r="292" spans="27:182" x14ac:dyDescent="0.2"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</row>
    <row r="293" spans="27:182" x14ac:dyDescent="0.2"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</row>
    <row r="294" spans="27:182" x14ac:dyDescent="0.2"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</row>
    <row r="295" spans="27:182" x14ac:dyDescent="0.2"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</row>
    <row r="296" spans="27:182" x14ac:dyDescent="0.2"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</row>
    <row r="297" spans="27:182" x14ac:dyDescent="0.2"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</row>
    <row r="298" spans="27:182" x14ac:dyDescent="0.2"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</row>
    <row r="299" spans="27:182" x14ac:dyDescent="0.2"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</row>
    <row r="300" spans="27:182" x14ac:dyDescent="0.2"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</row>
    <row r="301" spans="27:182" x14ac:dyDescent="0.2"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</row>
    <row r="302" spans="27:182" x14ac:dyDescent="0.2"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</row>
    <row r="303" spans="27:182" x14ac:dyDescent="0.2"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</row>
    <row r="304" spans="27:182" x14ac:dyDescent="0.2"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</row>
    <row r="305" spans="27:182" x14ac:dyDescent="0.2"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</row>
    <row r="306" spans="27:182" x14ac:dyDescent="0.2"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</row>
    <row r="307" spans="27:182" x14ac:dyDescent="0.2"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</row>
    <row r="308" spans="27:182" x14ac:dyDescent="0.2"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</row>
    <row r="309" spans="27:182" x14ac:dyDescent="0.2"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</row>
    <row r="310" spans="27:182" x14ac:dyDescent="0.2"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</row>
    <row r="311" spans="27:182" x14ac:dyDescent="0.2"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</row>
    <row r="312" spans="27:182" x14ac:dyDescent="0.2"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</row>
    <row r="313" spans="27:182" x14ac:dyDescent="0.2"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</row>
    <row r="314" spans="27:182" x14ac:dyDescent="0.2"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</row>
    <row r="315" spans="27:182" x14ac:dyDescent="0.2"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</row>
    <row r="316" spans="27:182" x14ac:dyDescent="0.2"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</row>
    <row r="317" spans="27:182" x14ac:dyDescent="0.2"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</row>
    <row r="318" spans="27:182" x14ac:dyDescent="0.2"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</row>
    <row r="319" spans="27:182" x14ac:dyDescent="0.2"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</row>
    <row r="320" spans="27:182" x14ac:dyDescent="0.2"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</row>
    <row r="321" spans="27:182" x14ac:dyDescent="0.2"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</row>
    <row r="322" spans="27:182" x14ac:dyDescent="0.2"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</row>
    <row r="323" spans="27:182" x14ac:dyDescent="0.2"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</row>
    <row r="324" spans="27:182" x14ac:dyDescent="0.2"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</row>
    <row r="325" spans="27:182" x14ac:dyDescent="0.2"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</row>
    <row r="326" spans="27:182" x14ac:dyDescent="0.2"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</row>
    <row r="327" spans="27:182" x14ac:dyDescent="0.2"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</row>
    <row r="328" spans="27:182" x14ac:dyDescent="0.2"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</row>
    <row r="329" spans="27:182" x14ac:dyDescent="0.2"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</row>
    <row r="330" spans="27:182" x14ac:dyDescent="0.2"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</row>
    <row r="331" spans="27:182" x14ac:dyDescent="0.2"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</row>
    <row r="332" spans="27:182" x14ac:dyDescent="0.2"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</row>
    <row r="333" spans="27:182" x14ac:dyDescent="0.2"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</row>
    <row r="334" spans="27:182" x14ac:dyDescent="0.2"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</row>
    <row r="335" spans="27:182" x14ac:dyDescent="0.2"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</row>
    <row r="336" spans="27:182" x14ac:dyDescent="0.2"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</row>
    <row r="337" spans="27:182" x14ac:dyDescent="0.2"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</row>
    <row r="338" spans="27:182" x14ac:dyDescent="0.2"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</row>
    <row r="339" spans="27:182" x14ac:dyDescent="0.2"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</row>
    <row r="340" spans="27:182" x14ac:dyDescent="0.2"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</row>
    <row r="341" spans="27:182" x14ac:dyDescent="0.2"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</row>
    <row r="342" spans="27:182" x14ac:dyDescent="0.2"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</row>
    <row r="343" spans="27:182" x14ac:dyDescent="0.2"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</row>
    <row r="344" spans="27:182" x14ac:dyDescent="0.2"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</row>
    <row r="345" spans="27:182" x14ac:dyDescent="0.2"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</row>
    <row r="346" spans="27:182" x14ac:dyDescent="0.2"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</row>
    <row r="347" spans="27:182" x14ac:dyDescent="0.2"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</row>
    <row r="348" spans="27:182" x14ac:dyDescent="0.2"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</row>
    <row r="349" spans="27:182" x14ac:dyDescent="0.2"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</row>
    <row r="350" spans="27:182" x14ac:dyDescent="0.2"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</row>
    <row r="351" spans="27:182" x14ac:dyDescent="0.2"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</row>
    <row r="352" spans="27:182" x14ac:dyDescent="0.2"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</row>
    <row r="353" spans="27:182" x14ac:dyDescent="0.2"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</row>
    <row r="354" spans="27:182" x14ac:dyDescent="0.2"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</row>
    <row r="355" spans="27:182" x14ac:dyDescent="0.2"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</row>
    <row r="356" spans="27:182" x14ac:dyDescent="0.2"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</row>
    <row r="357" spans="27:182" x14ac:dyDescent="0.2"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</row>
    <row r="358" spans="27:182" x14ac:dyDescent="0.2"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</row>
    <row r="359" spans="27:182" x14ac:dyDescent="0.2"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</row>
    <row r="360" spans="27:182" x14ac:dyDescent="0.2"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</row>
    <row r="361" spans="27:182" x14ac:dyDescent="0.2"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</row>
    <row r="362" spans="27:182" x14ac:dyDescent="0.2"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</row>
    <row r="363" spans="27:182" x14ac:dyDescent="0.2"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</row>
    <row r="364" spans="27:182" x14ac:dyDescent="0.2"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</row>
    <row r="365" spans="27:182" x14ac:dyDescent="0.2"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</row>
    <row r="366" spans="27:182" x14ac:dyDescent="0.2"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</row>
    <row r="367" spans="27:182" x14ac:dyDescent="0.2"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</row>
    <row r="368" spans="27:182" x14ac:dyDescent="0.2"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</row>
    <row r="369" spans="27:182" x14ac:dyDescent="0.2"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</row>
    <row r="370" spans="27:182" x14ac:dyDescent="0.2"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</row>
    <row r="371" spans="27:182" x14ac:dyDescent="0.2"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</row>
    <row r="372" spans="27:182" x14ac:dyDescent="0.2"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</row>
    <row r="373" spans="27:182" x14ac:dyDescent="0.2"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</row>
    <row r="374" spans="27:182" x14ac:dyDescent="0.2"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</row>
    <row r="375" spans="27:182" x14ac:dyDescent="0.2"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</row>
    <row r="376" spans="27:182" x14ac:dyDescent="0.2"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</row>
    <row r="377" spans="27:182" x14ac:dyDescent="0.2"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</row>
    <row r="378" spans="27:182" x14ac:dyDescent="0.2"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</row>
    <row r="379" spans="27:182" x14ac:dyDescent="0.2"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</row>
    <row r="380" spans="27:182" x14ac:dyDescent="0.2"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</row>
    <row r="381" spans="27:182" x14ac:dyDescent="0.2"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</row>
    <row r="382" spans="27:182" x14ac:dyDescent="0.2"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</row>
    <row r="383" spans="27:182" x14ac:dyDescent="0.2"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</row>
    <row r="384" spans="27:182" x14ac:dyDescent="0.2"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</row>
    <row r="385" spans="27:182" x14ac:dyDescent="0.2"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</row>
    <row r="386" spans="27:182" x14ac:dyDescent="0.2"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</row>
    <row r="387" spans="27:182" x14ac:dyDescent="0.2"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</row>
    <row r="388" spans="27:182" x14ac:dyDescent="0.2"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</row>
    <row r="389" spans="27:182" x14ac:dyDescent="0.2"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</row>
    <row r="390" spans="27:182" x14ac:dyDescent="0.2"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</row>
    <row r="391" spans="27:182" x14ac:dyDescent="0.2"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</row>
    <row r="392" spans="27:182" x14ac:dyDescent="0.2"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</row>
    <row r="393" spans="27:182" x14ac:dyDescent="0.2"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</row>
    <row r="394" spans="27:182" x14ac:dyDescent="0.2"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</row>
    <row r="395" spans="27:182" x14ac:dyDescent="0.2"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</row>
    <row r="396" spans="27:182" x14ac:dyDescent="0.2"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</row>
    <row r="397" spans="27:182" x14ac:dyDescent="0.2"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</row>
    <row r="398" spans="27:182" x14ac:dyDescent="0.2"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</row>
    <row r="399" spans="27:182" x14ac:dyDescent="0.2"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</row>
    <row r="400" spans="27:182" x14ac:dyDescent="0.2"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</row>
    <row r="401" spans="27:182" x14ac:dyDescent="0.2"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</row>
    <row r="402" spans="27:182" x14ac:dyDescent="0.2"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</row>
    <row r="403" spans="27:182" x14ac:dyDescent="0.2"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</row>
    <row r="404" spans="27:182" x14ac:dyDescent="0.2"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</row>
    <row r="405" spans="27:182" x14ac:dyDescent="0.2"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</row>
    <row r="406" spans="27:182" x14ac:dyDescent="0.2"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</row>
    <row r="407" spans="27:182" x14ac:dyDescent="0.2"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</row>
    <row r="408" spans="27:182" x14ac:dyDescent="0.2"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</row>
    <row r="409" spans="27:182" x14ac:dyDescent="0.2"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</row>
    <row r="410" spans="27:182" x14ac:dyDescent="0.2"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</row>
    <row r="411" spans="27:182" x14ac:dyDescent="0.2"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</row>
    <row r="412" spans="27:182" x14ac:dyDescent="0.2"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</row>
    <row r="413" spans="27:182" x14ac:dyDescent="0.2"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</row>
    <row r="414" spans="27:182" x14ac:dyDescent="0.2"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</row>
    <row r="415" spans="27:182" x14ac:dyDescent="0.2"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</row>
    <row r="416" spans="27:182" x14ac:dyDescent="0.2"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</row>
    <row r="417" spans="27:182" x14ac:dyDescent="0.2"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</row>
    <row r="418" spans="27:182" x14ac:dyDescent="0.2"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</row>
    <row r="419" spans="27:182" x14ac:dyDescent="0.2"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</row>
    <row r="420" spans="27:182" x14ac:dyDescent="0.2"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</row>
    <row r="421" spans="27:182" x14ac:dyDescent="0.2"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</row>
    <row r="422" spans="27:182" x14ac:dyDescent="0.2"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</row>
    <row r="423" spans="27:182" x14ac:dyDescent="0.2"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</row>
    <row r="424" spans="27:182" x14ac:dyDescent="0.2"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</row>
    <row r="425" spans="27:182" x14ac:dyDescent="0.2"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</row>
    <row r="426" spans="27:182" x14ac:dyDescent="0.2"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</row>
    <row r="427" spans="27:182" x14ac:dyDescent="0.2"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</row>
    <row r="428" spans="27:182" x14ac:dyDescent="0.2"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</row>
    <row r="429" spans="27:182" x14ac:dyDescent="0.2"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</row>
    <row r="430" spans="27:182" x14ac:dyDescent="0.2"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</row>
    <row r="431" spans="27:182" x14ac:dyDescent="0.2"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</row>
    <row r="432" spans="27:182" x14ac:dyDescent="0.2"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</row>
    <row r="433" spans="27:182" x14ac:dyDescent="0.2"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</row>
    <row r="434" spans="27:182" x14ac:dyDescent="0.2"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</row>
    <row r="435" spans="27:182" x14ac:dyDescent="0.2"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</row>
    <row r="436" spans="27:182" x14ac:dyDescent="0.2"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</row>
    <row r="437" spans="27:182" x14ac:dyDescent="0.2"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</row>
    <row r="438" spans="27:182" x14ac:dyDescent="0.2"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</row>
    <row r="439" spans="27:182" x14ac:dyDescent="0.2"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</row>
    <row r="440" spans="27:182" x14ac:dyDescent="0.2"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</row>
    <row r="441" spans="27:182" x14ac:dyDescent="0.2"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</row>
    <row r="442" spans="27:182" x14ac:dyDescent="0.2"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</row>
    <row r="443" spans="27:182" x14ac:dyDescent="0.2"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</row>
    <row r="444" spans="27:182" x14ac:dyDescent="0.2"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</row>
    <row r="445" spans="27:182" x14ac:dyDescent="0.2"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</row>
    <row r="446" spans="27:182" x14ac:dyDescent="0.2"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</row>
    <row r="447" spans="27:182" x14ac:dyDescent="0.2"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</row>
    <row r="448" spans="27:182" x14ac:dyDescent="0.2"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</row>
    <row r="449" spans="27:182" x14ac:dyDescent="0.2"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</row>
    <row r="450" spans="27:182" x14ac:dyDescent="0.2"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</row>
    <row r="451" spans="27:182" x14ac:dyDescent="0.2"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</row>
    <row r="452" spans="27:182" x14ac:dyDescent="0.2"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</row>
    <row r="453" spans="27:182" x14ac:dyDescent="0.2"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</row>
    <row r="454" spans="27:182" x14ac:dyDescent="0.2"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</row>
    <row r="455" spans="27:182" x14ac:dyDescent="0.2"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</row>
    <row r="456" spans="27:182" x14ac:dyDescent="0.2"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</row>
    <row r="457" spans="27:182" x14ac:dyDescent="0.2"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</row>
    <row r="458" spans="27:182" x14ac:dyDescent="0.2"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</row>
    <row r="459" spans="27:182" x14ac:dyDescent="0.2"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</row>
    <row r="460" spans="27:182" x14ac:dyDescent="0.2"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</row>
    <row r="461" spans="27:182" x14ac:dyDescent="0.2"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</row>
    <row r="462" spans="27:182" x14ac:dyDescent="0.2"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</row>
    <row r="463" spans="27:182" x14ac:dyDescent="0.2"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</row>
    <row r="464" spans="27:182" x14ac:dyDescent="0.2"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</row>
    <row r="465" spans="27:182" x14ac:dyDescent="0.2"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</row>
    <row r="466" spans="27:182" x14ac:dyDescent="0.2"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</row>
    <row r="467" spans="27:182" x14ac:dyDescent="0.2"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</row>
    <row r="468" spans="27:182" x14ac:dyDescent="0.2"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</row>
    <row r="469" spans="27:182" x14ac:dyDescent="0.2"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</row>
    <row r="470" spans="27:182" x14ac:dyDescent="0.2"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</row>
    <row r="471" spans="27:182" x14ac:dyDescent="0.2"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</row>
    <row r="472" spans="27:182" x14ac:dyDescent="0.2"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</row>
    <row r="473" spans="27:182" x14ac:dyDescent="0.2"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</row>
    <row r="474" spans="27:182" x14ac:dyDescent="0.2"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</row>
    <row r="475" spans="27:182" x14ac:dyDescent="0.2"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</row>
    <row r="476" spans="27:182" x14ac:dyDescent="0.2"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</row>
    <row r="477" spans="27:182" x14ac:dyDescent="0.2"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</row>
    <row r="478" spans="27:182" x14ac:dyDescent="0.2"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</row>
    <row r="479" spans="27:182" x14ac:dyDescent="0.2"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</row>
    <row r="480" spans="27:182" x14ac:dyDescent="0.2"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</row>
    <row r="481" spans="27:182" x14ac:dyDescent="0.2"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</row>
    <row r="482" spans="27:182" x14ac:dyDescent="0.2"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</row>
    <row r="483" spans="27:182" x14ac:dyDescent="0.2"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</row>
    <row r="484" spans="27:182" x14ac:dyDescent="0.2"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</row>
    <row r="485" spans="27:182" x14ac:dyDescent="0.2"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</row>
    <row r="486" spans="27:182" x14ac:dyDescent="0.2"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</row>
    <row r="487" spans="27:182" x14ac:dyDescent="0.2"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</row>
    <row r="488" spans="27:182" x14ac:dyDescent="0.2"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</row>
    <row r="489" spans="27:182" x14ac:dyDescent="0.2"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</row>
    <row r="490" spans="27:182" x14ac:dyDescent="0.2"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</row>
    <row r="491" spans="27:182" x14ac:dyDescent="0.2"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</row>
    <row r="492" spans="27:182" x14ac:dyDescent="0.2"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</row>
    <row r="493" spans="27:182" x14ac:dyDescent="0.2"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</row>
    <row r="494" spans="27:182" x14ac:dyDescent="0.2"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</row>
    <row r="495" spans="27:182" x14ac:dyDescent="0.2"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</row>
    <row r="496" spans="27:182" x14ac:dyDescent="0.2"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</row>
    <row r="497" spans="27:182" x14ac:dyDescent="0.2"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</row>
    <row r="498" spans="27:182" x14ac:dyDescent="0.2"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</row>
    <row r="499" spans="27:182" x14ac:dyDescent="0.2"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</row>
    <row r="500" spans="27:182" x14ac:dyDescent="0.2"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</row>
  </sheetData>
  <conditionalFormatting sqref="M38:N39 M41:N42">
    <cfRule type="expression" dxfId="6" priority="2">
      <formula>OR($M$34="Grid", $M$34="Perimeter")</formula>
    </cfRule>
  </conditionalFormatting>
  <conditionalFormatting sqref="M44:N45">
    <cfRule type="expression" dxfId="5" priority="1">
      <formula>$M$34="Circular"</formula>
    </cfRule>
  </conditionalFormatting>
  <conditionalFormatting sqref="C38:S42">
    <cfRule type="expression" dxfId="4" priority="9">
      <formula>OR($M$34="Grid", $M$34="Perimeter")</formula>
    </cfRule>
  </conditionalFormatting>
  <conditionalFormatting sqref="C44:S45">
    <cfRule type="expression" dxfId="3" priority="11">
      <formula>$M$34="Circular"</formula>
    </cfRule>
  </conditionalFormatting>
  <conditionalFormatting sqref="C26:S26">
    <cfRule type="expression" dxfId="2" priority="13">
      <formula>AND($M$24="Bolted",$M$25="Washer")</formula>
    </cfRule>
  </conditionalFormatting>
  <conditionalFormatting sqref="C27:S27">
    <cfRule type="expression" dxfId="1" priority="15">
      <formula>AND($M$24="Bolted", $M$25="Plate")</formula>
    </cfRule>
  </conditionalFormatting>
  <conditionalFormatting sqref="C25:S25">
    <cfRule type="expression" dxfId="0" priority="17">
      <formula>$M$24="Bolted"</formula>
    </cfRule>
  </conditionalFormatting>
  <pageMargins left="0.23622047244094491" right="0.23622047244094491" top="0.23622047244094491" bottom="0.23622047244094491" header="0" footer="0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20</xdr:col>
                    <xdr:colOff>28575</xdr:colOff>
                    <xdr:row>8</xdr:row>
                    <xdr:rowOff>47625</xdr:rowOff>
                  </from>
                  <to>
                    <xdr:col>25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A49CCE6-7700-491E-B4DE-E955B56C5ABC}">
          <x14:formula1>
            <xm:f>'Input Data'!$B$3:$B$12</xm:f>
          </x14:formula1>
          <xm:sqref>M16:N16</xm:sqref>
        </x14:dataValidation>
        <x14:dataValidation type="list" allowBlank="1" showInputMessage="1" showErrorMessage="1" xr:uid="{2046DE8B-CDDC-464C-8D86-439FC5F90805}">
          <x14:formula1>
            <xm:f>'Input Data'!$H$3:$H$5</xm:f>
          </x14:formula1>
          <xm:sqref>M17:N17</xm:sqref>
        </x14:dataValidation>
        <x14:dataValidation type="list" allowBlank="1" showInputMessage="1" showErrorMessage="1" xr:uid="{1EAC87BF-1D59-4E38-93A9-F219242CA1F0}">
          <x14:formula1>
            <xm:f>'Input Data'!$F$3:$F$7</xm:f>
          </x14:formula1>
          <xm:sqref>M18:N18</xm:sqref>
        </x14:dataValidation>
        <x14:dataValidation type="list" allowBlank="1" showInputMessage="1" showErrorMessage="1" xr:uid="{497EDB87-876B-4B0E-9378-A2191B2D9AE6}">
          <x14:formula1>
            <xm:f>'Input Data'!$D$3:$D$9</xm:f>
          </x14:formula1>
          <xm:sqref>M22:N22</xm:sqref>
        </x14:dataValidation>
        <x14:dataValidation type="list" allowBlank="1" showInputMessage="1" showErrorMessage="1" xr:uid="{4E74F54E-C702-496F-AE8C-BA26BC962C1E}">
          <x14:formula1>
            <xm:f>'Input Data'!$J$3:$J$16</xm:f>
          </x14:formula1>
          <xm:sqref>M23:N23</xm:sqref>
        </x14:dataValidation>
        <x14:dataValidation type="list" allowBlank="1" showInputMessage="1" showErrorMessage="1" xr:uid="{4C3EE611-A124-4A57-B9D8-12DAA32DE318}">
          <x14:formula1>
            <xm:f>'Input Data'!$L$3:$L$4</xm:f>
          </x14:formula1>
          <xm:sqref>M24:N24</xm:sqref>
        </x14:dataValidation>
        <x14:dataValidation type="list" allowBlank="1" showInputMessage="1" showErrorMessage="1" xr:uid="{70844014-D329-4A80-A592-4B259581F6CF}">
          <x14:formula1>
            <xm:f>'Input Data'!$N$3:$N$4</xm:f>
          </x14:formula1>
          <xm:sqref>M25:N25</xm:sqref>
        </x14:dataValidation>
        <x14:dataValidation type="list" allowBlank="1" showInputMessage="1" showErrorMessage="1" xr:uid="{AE33E01F-0C0A-43E8-9DDB-0A178368BD48}">
          <x14:formula1>
            <xm:f>'Input Data'!$P$3:$P$5</xm:f>
          </x14:formula1>
          <xm:sqref>M34:N34</xm:sqref>
        </x14:dataValidation>
        <x14:dataValidation type="list" allowBlank="1" showInputMessage="1" showErrorMessage="1" xr:uid="{242E0807-6743-49D2-9879-E377E98F0E2D}">
          <x14:formula1>
            <xm:f>'Input Data'!$D$15:$D$16</xm:f>
          </x14:formula1>
          <xm:sqref>M48:N48</xm:sqref>
        </x14:dataValidation>
        <x14:dataValidation type="list" allowBlank="1" showInputMessage="1" showErrorMessage="1" xr:uid="{F5DBE79F-3B4E-4A6A-8B92-02BF6F550A40}">
          <x14:formula1>
            <xm:f>'Input Data'!$R$3:$R$8</xm:f>
          </x14:formula1>
          <xm:sqref>M15:N15</xm:sqref>
        </x14:dataValidation>
        <x14:dataValidation type="list" allowBlank="1" showInputMessage="1" showErrorMessage="1" xr:uid="{F4F38D4B-96CD-4A52-88C5-B2A5352B6886}">
          <x14:formula1>
            <xm:f>'Input Data'!$B$19:$B$22</xm:f>
          </x14:formula1>
          <xm:sqref>M31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CFCBF-28ED-4EC5-B7D9-EB1DA1B94EEC}">
  <sheetPr codeName="Sheet2"/>
  <dimension ref="B2:R22"/>
  <sheetViews>
    <sheetView workbookViewId="0"/>
  </sheetViews>
  <sheetFormatPr defaultColWidth="9" defaultRowHeight="12.75" x14ac:dyDescent="0.2"/>
  <cols>
    <col min="1" max="1" width="3.140625" customWidth="1"/>
    <col min="2" max="2" width="13.85546875" customWidth="1"/>
    <col min="3" max="3" width="2.140625" customWidth="1"/>
    <col min="4" max="4" width="14.85546875" customWidth="1"/>
    <col min="5" max="5" width="2" customWidth="1"/>
    <col min="6" max="6" width="13.140625" customWidth="1"/>
    <col min="7" max="7" width="1.85546875" customWidth="1"/>
    <col min="8" max="8" width="10.42578125" bestFit="1" customWidth="1"/>
    <col min="9" max="9" width="2.140625" customWidth="1"/>
    <col min="10" max="10" width="14" bestFit="1" customWidth="1"/>
    <col min="11" max="11" width="2" customWidth="1"/>
    <col min="13" max="13" width="2" customWidth="1"/>
    <col min="14" max="14" width="10.140625" bestFit="1" customWidth="1"/>
    <col min="15" max="15" width="1.85546875" customWidth="1"/>
    <col min="16" max="16" width="14.85546875" bestFit="1" customWidth="1"/>
    <col min="17" max="17" width="3.5703125" customWidth="1"/>
    <col min="18" max="18" width="12.28515625" bestFit="1" customWidth="1"/>
  </cols>
  <sheetData>
    <row r="2" spans="2:18" x14ac:dyDescent="0.2">
      <c r="B2" s="6" t="s">
        <v>26</v>
      </c>
      <c r="D2" s="6" t="s">
        <v>25</v>
      </c>
      <c r="F2" s="6" t="s">
        <v>36</v>
      </c>
      <c r="H2" s="6" t="s">
        <v>19</v>
      </c>
      <c r="J2" s="6" t="s">
        <v>42</v>
      </c>
      <c r="L2" s="6" t="s">
        <v>43</v>
      </c>
      <c r="N2" s="6" t="s">
        <v>46</v>
      </c>
      <c r="P2" s="6" t="s">
        <v>61</v>
      </c>
      <c r="R2" s="6" t="s">
        <v>114</v>
      </c>
    </row>
    <row r="3" spans="2:18" x14ac:dyDescent="0.2">
      <c r="B3" s="4" t="s">
        <v>27</v>
      </c>
      <c r="D3" s="3">
        <v>4.5999999999999996</v>
      </c>
      <c r="F3" s="4" t="s">
        <v>37</v>
      </c>
      <c r="H3" s="4">
        <v>1</v>
      </c>
      <c r="J3" s="4">
        <v>5</v>
      </c>
      <c r="L3" s="4" t="s">
        <v>44</v>
      </c>
      <c r="N3" s="4" t="s">
        <v>47</v>
      </c>
      <c r="P3" s="4" t="s">
        <v>62</v>
      </c>
      <c r="R3" s="4">
        <v>0</v>
      </c>
    </row>
    <row r="4" spans="2:18" x14ac:dyDescent="0.2">
      <c r="B4" s="4" t="s">
        <v>28</v>
      </c>
      <c r="D4" s="3">
        <v>4.8</v>
      </c>
      <c r="F4" s="4" t="s">
        <v>39</v>
      </c>
      <c r="H4" s="4">
        <v>2</v>
      </c>
      <c r="J4" s="4">
        <v>6</v>
      </c>
      <c r="L4" s="5" t="s">
        <v>45</v>
      </c>
      <c r="N4" s="5" t="s">
        <v>48</v>
      </c>
      <c r="P4" s="4" t="s">
        <v>63</v>
      </c>
      <c r="R4">
        <v>30</v>
      </c>
    </row>
    <row r="5" spans="2:18" x14ac:dyDescent="0.2">
      <c r="B5" s="4" t="s">
        <v>29</v>
      </c>
      <c r="D5" s="3">
        <v>5.6</v>
      </c>
      <c r="F5" s="4" t="s">
        <v>40</v>
      </c>
      <c r="H5" s="5">
        <v>3</v>
      </c>
      <c r="J5" s="4">
        <v>7</v>
      </c>
      <c r="P5" s="5"/>
      <c r="R5" s="4">
        <v>60</v>
      </c>
    </row>
    <row r="6" spans="2:18" x14ac:dyDescent="0.2">
      <c r="B6" s="4" t="s">
        <v>30</v>
      </c>
      <c r="D6" s="3">
        <v>5.8</v>
      </c>
      <c r="F6" s="4" t="s">
        <v>150</v>
      </c>
      <c r="J6" s="4">
        <v>8</v>
      </c>
      <c r="R6" s="4">
        <v>90</v>
      </c>
    </row>
    <row r="7" spans="2:18" x14ac:dyDescent="0.2">
      <c r="B7" s="4" t="s">
        <v>31</v>
      </c>
      <c r="D7" s="1">
        <v>6.8</v>
      </c>
      <c r="F7" s="5" t="s">
        <v>38</v>
      </c>
      <c r="J7" s="4">
        <v>10</v>
      </c>
      <c r="P7" t="s">
        <v>99</v>
      </c>
      <c r="R7" s="4">
        <v>120</v>
      </c>
    </row>
    <row r="8" spans="2:18" x14ac:dyDescent="0.2">
      <c r="B8" s="4" t="s">
        <v>32</v>
      </c>
      <c r="D8" s="1">
        <v>8.8000000000000007</v>
      </c>
      <c r="J8" s="4">
        <v>12</v>
      </c>
      <c r="N8" s="8"/>
      <c r="R8" s="5">
        <v>240</v>
      </c>
    </row>
    <row r="9" spans="2:18" x14ac:dyDescent="0.2">
      <c r="B9" s="4" t="s">
        <v>33</v>
      </c>
      <c r="D9" s="2">
        <v>10.9</v>
      </c>
      <c r="J9" s="4">
        <v>14</v>
      </c>
    </row>
    <row r="10" spans="2:18" x14ac:dyDescent="0.2">
      <c r="B10" s="4" t="s">
        <v>18</v>
      </c>
      <c r="J10" s="4">
        <v>16</v>
      </c>
    </row>
    <row r="11" spans="2:18" x14ac:dyDescent="0.2">
      <c r="B11" s="4" t="s">
        <v>34</v>
      </c>
      <c r="J11" s="4">
        <v>18</v>
      </c>
    </row>
    <row r="12" spans="2:18" x14ac:dyDescent="0.2">
      <c r="B12" s="5" t="s">
        <v>35</v>
      </c>
      <c r="J12" s="4">
        <v>20</v>
      </c>
    </row>
    <row r="13" spans="2:18" x14ac:dyDescent="0.2">
      <c r="J13" s="4">
        <v>22</v>
      </c>
    </row>
    <row r="14" spans="2:18" x14ac:dyDescent="0.2">
      <c r="B14" s="6" t="s">
        <v>103</v>
      </c>
      <c r="D14" s="6" t="s">
        <v>108</v>
      </c>
      <c r="J14" s="4">
        <v>24</v>
      </c>
    </row>
    <row r="15" spans="2:18" x14ac:dyDescent="0.2">
      <c r="B15" s="4" t="s">
        <v>101</v>
      </c>
      <c r="D15" s="4" t="s">
        <v>109</v>
      </c>
      <c r="J15" s="4">
        <v>27</v>
      </c>
    </row>
    <row r="16" spans="2:18" x14ac:dyDescent="0.2">
      <c r="B16" s="5" t="s">
        <v>102</v>
      </c>
      <c r="D16" s="5" t="s">
        <v>110</v>
      </c>
      <c r="J16" s="5">
        <v>30</v>
      </c>
    </row>
    <row r="18" spans="2:2" x14ac:dyDescent="0.2">
      <c r="B18" s="6" t="s">
        <v>145</v>
      </c>
    </row>
    <row r="19" spans="2:2" x14ac:dyDescent="0.2">
      <c r="B19" s="4">
        <v>10</v>
      </c>
    </row>
    <row r="20" spans="2:2" x14ac:dyDescent="0.2">
      <c r="B20" s="4">
        <v>12</v>
      </c>
    </row>
    <row r="21" spans="2:2" x14ac:dyDescent="0.2">
      <c r="B21" s="4">
        <v>15</v>
      </c>
    </row>
    <row r="22" spans="2:2" x14ac:dyDescent="0.2">
      <c r="B22" s="5">
        <v>20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</vt:lpstr>
      <vt:lpstr>Designer</vt:lpstr>
      <vt:lpstr>Column Designer</vt:lpstr>
      <vt:lpstr>Input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Ross</dc:creator>
  <cp:lastModifiedBy>Liam Ross</cp:lastModifiedBy>
  <cp:lastPrinted>2022-10-14T09:57:21Z</cp:lastPrinted>
  <dcterms:created xsi:type="dcterms:W3CDTF">2022-08-04T07:30:49Z</dcterms:created>
  <dcterms:modified xsi:type="dcterms:W3CDTF">2023-10-26T16:45:35Z</dcterms:modified>
</cp:coreProperties>
</file>